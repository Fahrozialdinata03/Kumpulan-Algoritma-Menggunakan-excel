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9A6D63C-C69C-45B3-8B9B-20577CBFFDF2}" xr6:coauthVersionLast="47" xr6:coauthVersionMax="47" xr10:uidLastSave="{00000000-0000-0000-0000-000000000000}"/>
  <bookViews>
    <workbookView xWindow="-110" yWindow="-110" windowWidth="19420" windowHeight="11020" xr2:uid="{E853CB25-8CB2-4E20-AAB9-E65A3F872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  <c r="H18" i="1"/>
  <c r="H17" i="1"/>
  <c r="H16" i="1"/>
  <c r="I17" i="1"/>
  <c r="L16" i="1" s="1"/>
  <c r="J20" i="1"/>
  <c r="V45" i="1"/>
  <c r="Q45" i="1"/>
  <c r="L45" i="1"/>
  <c r="K45" i="1"/>
  <c r="J45" i="1"/>
  <c r="I45" i="1"/>
  <c r="L44" i="1"/>
  <c r="K44" i="1"/>
  <c r="J44" i="1"/>
  <c r="I44" i="1"/>
  <c r="L43" i="1" s="1"/>
  <c r="K43" i="1"/>
  <c r="J43" i="1"/>
  <c r="I43" i="1"/>
  <c r="L42" i="1"/>
  <c r="K42" i="1"/>
  <c r="J42" i="1"/>
  <c r="I42" i="1"/>
  <c r="L41" i="1" s="1"/>
  <c r="K41" i="1"/>
  <c r="J41" i="1"/>
  <c r="I41" i="1"/>
  <c r="L40" i="1"/>
  <c r="K40" i="1"/>
  <c r="J40" i="1"/>
  <c r="I40" i="1"/>
  <c r="L39" i="1" s="1"/>
  <c r="K39" i="1"/>
  <c r="J39" i="1"/>
  <c r="I39" i="1"/>
  <c r="L38" i="1"/>
  <c r="K38" i="1"/>
  <c r="J38" i="1"/>
  <c r="I38" i="1"/>
  <c r="L37" i="1" s="1"/>
  <c r="K37" i="1"/>
  <c r="J37" i="1"/>
  <c r="I37" i="1"/>
  <c r="L36" i="1"/>
  <c r="K36" i="1"/>
  <c r="J36" i="1"/>
  <c r="I36" i="1"/>
  <c r="L35" i="1" s="1"/>
  <c r="K35" i="1"/>
  <c r="J35" i="1"/>
  <c r="I35" i="1"/>
  <c r="L34" i="1"/>
  <c r="K34" i="1"/>
  <c r="J34" i="1"/>
  <c r="I34" i="1"/>
  <c r="L33" i="1" s="1"/>
  <c r="K33" i="1"/>
  <c r="J33" i="1"/>
  <c r="I33" i="1"/>
  <c r="L32" i="1"/>
  <c r="K32" i="1"/>
  <c r="J32" i="1"/>
  <c r="I32" i="1"/>
  <c r="L31" i="1" s="1"/>
  <c r="K31" i="1"/>
  <c r="J31" i="1"/>
  <c r="I31" i="1"/>
  <c r="L30" i="1"/>
  <c r="K30" i="1"/>
  <c r="J30" i="1"/>
  <c r="I30" i="1"/>
  <c r="L29" i="1" s="1"/>
  <c r="K29" i="1"/>
  <c r="J29" i="1"/>
  <c r="I29" i="1"/>
  <c r="L28" i="1" s="1"/>
  <c r="K28" i="1"/>
  <c r="J28" i="1"/>
  <c r="L27" i="1" s="1"/>
  <c r="I28" i="1"/>
  <c r="K27" i="1"/>
  <c r="J27" i="1"/>
  <c r="I27" i="1"/>
  <c r="L26" i="1" s="1"/>
  <c r="K26" i="1"/>
  <c r="J26" i="1"/>
  <c r="I26" i="1"/>
  <c r="L25" i="1" s="1"/>
  <c r="K25" i="1"/>
  <c r="J25" i="1"/>
  <c r="I25" i="1"/>
  <c r="L24" i="1" s="1"/>
  <c r="K24" i="1"/>
  <c r="J24" i="1"/>
  <c r="I24" i="1"/>
  <c r="L23" i="1" s="1"/>
  <c r="K23" i="1"/>
  <c r="J23" i="1"/>
  <c r="I23" i="1"/>
  <c r="L22" i="1" s="1"/>
  <c r="K22" i="1"/>
  <c r="J22" i="1"/>
  <c r="I22" i="1"/>
  <c r="L21" i="1" s="1"/>
  <c r="K21" i="1"/>
  <c r="J21" i="1"/>
  <c r="I21" i="1"/>
  <c r="L20" i="1"/>
  <c r="K20" i="1"/>
  <c r="I20" i="1"/>
  <c r="K19" i="1"/>
  <c r="J19" i="1"/>
  <c r="I19" i="1"/>
  <c r="L18" i="1"/>
  <c r="K18" i="1"/>
  <c r="J18" i="1"/>
  <c r="I18" i="1"/>
  <c r="L17" i="1" s="1"/>
  <c r="K17" i="1"/>
  <c r="J17" i="1"/>
  <c r="I12" i="1"/>
  <c r="J12" i="1" s="1"/>
  <c r="H12" i="1"/>
  <c r="I11" i="1"/>
  <c r="H11" i="1"/>
  <c r="J11" i="1" s="1"/>
  <c r="I10" i="1"/>
  <c r="J10" i="1" s="1"/>
  <c r="H10" i="1"/>
  <c r="I9" i="1"/>
  <c r="J9" i="1" s="1"/>
  <c r="H9" i="1"/>
  <c r="I8" i="1"/>
  <c r="J8" i="1" s="1"/>
  <c r="H8" i="1"/>
  <c r="I7" i="1"/>
  <c r="J7" i="1" s="1"/>
  <c r="H7" i="1"/>
  <c r="I6" i="1"/>
  <c r="J6" i="1" s="1"/>
  <c r="H6" i="1"/>
  <c r="I5" i="1"/>
  <c r="H5" i="1"/>
  <c r="J5" i="1" s="1"/>
  <c r="I4" i="1"/>
  <c r="J4" i="1" s="1"/>
  <c r="H4" i="1"/>
  <c r="I3" i="1"/>
  <c r="J3" i="1" s="1"/>
  <c r="H3" i="1"/>
  <c r="L19" i="1" l="1"/>
  <c r="F22" i="1" s="1"/>
  <c r="E10" i="1"/>
  <c r="F8" i="1"/>
  <c r="E8" i="1"/>
  <c r="F10" i="1"/>
  <c r="G24" i="1"/>
  <c r="F23" i="1"/>
  <c r="F24" i="1"/>
  <c r="G23" i="1" l="1"/>
  <c r="O40" i="1" s="1"/>
  <c r="G22" i="1"/>
  <c r="O25" i="1"/>
  <c r="O44" i="1"/>
  <c r="O42" i="1"/>
  <c r="O34" i="1"/>
  <c r="O30" i="1"/>
  <c r="O23" i="1"/>
  <c r="O27" i="1"/>
  <c r="O21" i="1"/>
  <c r="O20" i="1"/>
  <c r="O18" i="1"/>
  <c r="O19" i="1"/>
  <c r="O45" i="1"/>
  <c r="O43" i="1"/>
  <c r="O41" i="1"/>
  <c r="O39" i="1"/>
  <c r="O35" i="1"/>
  <c r="O33" i="1"/>
  <c r="O31" i="1"/>
  <c r="N27" i="1"/>
  <c r="N25" i="1"/>
  <c r="N28" i="1"/>
  <c r="N21" i="1"/>
  <c r="N33" i="1"/>
  <c r="N31" i="1"/>
  <c r="N29" i="1"/>
  <c r="N22" i="1"/>
  <c r="N17" i="1"/>
  <c r="N24" i="1"/>
  <c r="N35" i="1"/>
  <c r="N44" i="1"/>
  <c r="N42" i="1"/>
  <c r="N40" i="1"/>
  <c r="N38" i="1"/>
  <c r="N36" i="1"/>
  <c r="N34" i="1"/>
  <c r="Q33" i="1" s="1"/>
  <c r="N32" i="1"/>
  <c r="N30" i="1"/>
  <c r="N23" i="1"/>
  <c r="N26" i="1"/>
  <c r="N45" i="1"/>
  <c r="N41" i="1"/>
  <c r="N39" i="1"/>
  <c r="N37" i="1"/>
  <c r="N20" i="1"/>
  <c r="N18" i="1"/>
  <c r="N43" i="1"/>
  <c r="M7" i="1"/>
  <c r="M3" i="1"/>
  <c r="M11" i="1"/>
  <c r="M5" i="1"/>
  <c r="M10" i="1"/>
  <c r="O10" i="1" s="1"/>
  <c r="M9" i="1"/>
  <c r="M4" i="1"/>
  <c r="M6" i="1"/>
  <c r="M8" i="1"/>
  <c r="M12" i="1"/>
  <c r="P29" i="1"/>
  <c r="P44" i="1"/>
  <c r="P42" i="1"/>
  <c r="P40" i="1"/>
  <c r="P38" i="1"/>
  <c r="P36" i="1"/>
  <c r="P34" i="1"/>
  <c r="P32" i="1"/>
  <c r="P30" i="1"/>
  <c r="P23" i="1"/>
  <c r="P26" i="1"/>
  <c r="P24" i="1"/>
  <c r="P28" i="1"/>
  <c r="P21" i="1"/>
  <c r="P19" i="1"/>
  <c r="P17" i="1"/>
  <c r="P20" i="1"/>
  <c r="P18" i="1"/>
  <c r="P22" i="1"/>
  <c r="P45" i="1"/>
  <c r="P43" i="1"/>
  <c r="P41" i="1"/>
  <c r="P39" i="1"/>
  <c r="P37" i="1"/>
  <c r="P35" i="1"/>
  <c r="P33" i="1"/>
  <c r="P31" i="1"/>
  <c r="P27" i="1"/>
  <c r="P25" i="1"/>
  <c r="N10" i="1"/>
  <c r="N9" i="1"/>
  <c r="N4" i="1"/>
  <c r="N7" i="1"/>
  <c r="N11" i="1"/>
  <c r="N5" i="1"/>
  <c r="N3" i="1"/>
  <c r="N12" i="1"/>
  <c r="N6" i="1"/>
  <c r="N8" i="1"/>
  <c r="Q38" i="1" l="1"/>
  <c r="O32" i="1"/>
  <c r="O17" i="1"/>
  <c r="O22" i="1"/>
  <c r="O37" i="1"/>
  <c r="Q36" i="1" s="1"/>
  <c r="O24" i="1"/>
  <c r="Q23" i="1" s="1"/>
  <c r="O36" i="1"/>
  <c r="Q35" i="1" s="1"/>
  <c r="O29" i="1"/>
  <c r="Q28" i="1" s="1"/>
  <c r="O26" i="1"/>
  <c r="O38" i="1"/>
  <c r="O28" i="1"/>
  <c r="Q27" i="1" s="1"/>
  <c r="Q16" i="1"/>
  <c r="Q24" i="1"/>
  <c r="Q26" i="1"/>
  <c r="O9" i="1"/>
  <c r="Q19" i="1"/>
  <c r="Q31" i="1"/>
  <c r="O11" i="1"/>
  <c r="Q40" i="1"/>
  <c r="Q37" i="1"/>
  <c r="Q21" i="1"/>
  <c r="O12" i="1"/>
  <c r="O3" i="1"/>
  <c r="Q44" i="1"/>
  <c r="Q39" i="1"/>
  <c r="Q30" i="1"/>
  <c r="O5" i="1"/>
  <c r="O8" i="1"/>
  <c r="O7" i="1"/>
  <c r="Q25" i="1"/>
  <c r="Q41" i="1"/>
  <c r="Q32" i="1"/>
  <c r="O6" i="1"/>
  <c r="Q42" i="1"/>
  <c r="Q22" i="1"/>
  <c r="Q43" i="1"/>
  <c r="Q18" i="1"/>
  <c r="O4" i="1"/>
  <c r="Q17" i="1"/>
  <c r="Q29" i="1"/>
  <c r="Q34" i="1"/>
  <c r="Q20" i="1"/>
  <c r="H22" i="1" l="1"/>
  <c r="H23" i="1"/>
  <c r="F28" i="1"/>
  <c r="F29" i="1"/>
  <c r="H24" i="1"/>
  <c r="F30" i="1"/>
  <c r="G29" i="1"/>
  <c r="G30" i="1"/>
  <c r="G28" i="1"/>
  <c r="U45" i="1" l="1"/>
  <c r="U43" i="1"/>
  <c r="U41" i="1"/>
  <c r="U39" i="1"/>
  <c r="U37" i="1"/>
  <c r="U35" i="1"/>
  <c r="U33" i="1"/>
  <c r="U31" i="1"/>
  <c r="U29" i="1"/>
  <c r="U27" i="1"/>
  <c r="U25" i="1"/>
  <c r="U22" i="1"/>
  <c r="U17" i="1"/>
  <c r="U18" i="1"/>
  <c r="U28" i="1"/>
  <c r="U21" i="1"/>
  <c r="U19" i="1"/>
  <c r="U44" i="1"/>
  <c r="U42" i="1"/>
  <c r="U40" i="1"/>
  <c r="U38" i="1"/>
  <c r="U36" i="1"/>
  <c r="U34" i="1"/>
  <c r="U32" i="1"/>
  <c r="U30" i="1"/>
  <c r="U23" i="1"/>
  <c r="U26" i="1"/>
  <c r="U24" i="1"/>
  <c r="U20" i="1"/>
  <c r="T20" i="1"/>
  <c r="T26" i="1"/>
  <c r="T24" i="1"/>
  <c r="T45" i="1"/>
  <c r="T43" i="1"/>
  <c r="T41" i="1"/>
  <c r="T39" i="1"/>
  <c r="T37" i="1"/>
  <c r="T35" i="1"/>
  <c r="T33" i="1"/>
  <c r="T31" i="1"/>
  <c r="T28" i="1"/>
  <c r="T18" i="1"/>
  <c r="T27" i="1"/>
  <c r="T25" i="1"/>
  <c r="T21" i="1"/>
  <c r="T19" i="1"/>
  <c r="T29" i="1"/>
  <c r="T22" i="1"/>
  <c r="T17" i="1"/>
  <c r="T44" i="1"/>
  <c r="T42" i="1"/>
  <c r="T40" i="1"/>
  <c r="T38" i="1"/>
  <c r="T36" i="1"/>
  <c r="T34" i="1"/>
  <c r="T32" i="1"/>
  <c r="T30" i="1"/>
  <c r="T23" i="1"/>
  <c r="S44" i="1" l="1"/>
  <c r="V43" i="1" s="1"/>
  <c r="S43" i="1"/>
  <c r="V42" i="1" s="1"/>
  <c r="S25" i="1"/>
  <c r="V24" i="1" s="1"/>
  <c r="S45" i="1"/>
  <c r="V44" i="1" s="1"/>
  <c r="S26" i="1"/>
  <c r="V25" i="1" s="1"/>
  <c r="S24" i="1"/>
  <c r="V23" i="1" s="1"/>
  <c r="S35" i="1"/>
  <c r="V34" i="1" s="1"/>
  <c r="S21" i="1"/>
  <c r="V20" i="1" s="1"/>
  <c r="S20" i="1"/>
  <c r="V19" i="1" s="1"/>
  <c r="S39" i="1"/>
  <c r="V38" i="1" s="1"/>
  <c r="S40" i="1"/>
  <c r="V39" i="1" s="1"/>
  <c r="S36" i="1"/>
  <c r="V35" i="1" s="1"/>
  <c r="S19" i="1"/>
  <c r="V18" i="1" s="1"/>
  <c r="S41" i="1"/>
  <c r="V40" i="1" s="1"/>
  <c r="S18" i="1"/>
  <c r="V17" i="1" s="1"/>
  <c r="S42" i="1"/>
  <c r="V41" i="1" s="1"/>
  <c r="S37" i="1"/>
  <c r="V36" i="1" s="1"/>
  <c r="S38" i="1"/>
  <c r="V37" i="1" s="1"/>
  <c r="S27" i="1"/>
  <c r="V26" i="1" s="1"/>
  <c r="S22" i="1"/>
  <c r="V21" i="1" s="1"/>
  <c r="S29" i="1"/>
  <c r="V28" i="1" s="1"/>
  <c r="S23" i="1"/>
  <c r="V22" i="1" s="1"/>
  <c r="S30" i="1"/>
  <c r="V29" i="1" s="1"/>
  <c r="S31" i="1"/>
  <c r="V30" i="1" s="1"/>
  <c r="S32" i="1"/>
  <c r="V31" i="1" s="1"/>
  <c r="S34" i="1"/>
  <c r="V33" i="1" s="1"/>
  <c r="S33" i="1"/>
  <c r="V32" i="1" s="1"/>
  <c r="S28" i="1"/>
  <c r="S17" i="1"/>
  <c r="V16" i="1" s="1"/>
  <c r="H28" i="1" l="1"/>
  <c r="V27" i="1"/>
  <c r="H30" i="1" s="1"/>
  <c r="H29" i="1" l="1"/>
</calcChain>
</file>

<file path=xl/sharedStrings.xml><?xml version="1.0" encoding="utf-8"?>
<sst xmlns="http://schemas.openxmlformats.org/spreadsheetml/2006/main" count="61" uniqueCount="32">
  <si>
    <t>Data ke</t>
  </si>
  <si>
    <t>x</t>
  </si>
  <si>
    <t>y</t>
  </si>
  <si>
    <t>C1_X</t>
  </si>
  <si>
    <t>C1_Y</t>
  </si>
  <si>
    <t>C2_X</t>
  </si>
  <si>
    <t>C2_Y</t>
  </si>
  <si>
    <t>Jarak K C1</t>
  </si>
  <si>
    <t>Jarak Ke C2</t>
  </si>
  <si>
    <t>Data masuk Ke</t>
  </si>
  <si>
    <t>C1_X Baru</t>
  </si>
  <si>
    <t>C1_Y Baru</t>
  </si>
  <si>
    <t>C2_X Baru</t>
  </si>
  <si>
    <t>C2_Y Baru</t>
  </si>
  <si>
    <t>Iterasi Ke2</t>
  </si>
  <si>
    <t>Iterasi Ke1</t>
  </si>
  <si>
    <t>No</t>
  </si>
  <si>
    <t>Total Belanja</t>
  </si>
  <si>
    <t>Frekuensi Pembelian</t>
  </si>
  <si>
    <t>Cluster</t>
  </si>
  <si>
    <t>C1</t>
  </si>
  <si>
    <t>C2</t>
  </si>
  <si>
    <t>C3</t>
  </si>
  <si>
    <t>Jarak Ke C3</t>
  </si>
  <si>
    <t>Data Masuk Ke</t>
  </si>
  <si>
    <t>Centroid</t>
  </si>
  <si>
    <t>Centroid 2</t>
  </si>
  <si>
    <t>Centroid 3</t>
  </si>
  <si>
    <t>Iterasi Ke 2</t>
  </si>
  <si>
    <t>Iterasi Ke 1</t>
  </si>
  <si>
    <t>Iterasi Ke 3</t>
  </si>
  <si>
    <t>Jumlah Anggota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</si>
</sst>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5071-D543-48C6-A0D8-BD96164F9D2D}">
  <dimension ref="A1:V51"/>
  <sheetViews>
    <sheetView tabSelected="1" topLeftCell="B12" workbookViewId="0">
      <selection activeCell="N20" sqref="N20"/>
    </sheetView>
  </sheetViews>
  <sheetFormatPr defaultRowHeight="14.5" x14ac:dyDescent="0.35"/>
  <cols>
    <col min="1" max="1" width="11.81640625" bestFit="1" customWidth="1"/>
    <col min="2" max="2" width="11.36328125" bestFit="1" customWidth="1"/>
    <col min="3" max="3" width="17.54296875" bestFit="1" customWidth="1"/>
    <col min="4" max="4" width="13.1796875" bestFit="1" customWidth="1"/>
    <col min="5" max="5" width="11.36328125" bestFit="1" customWidth="1"/>
    <col min="6" max="6" width="11.81640625" bestFit="1" customWidth="1"/>
    <col min="7" max="7" width="9.6328125" bestFit="1" customWidth="1"/>
    <col min="8" max="9" width="13.1796875" bestFit="1" customWidth="1"/>
    <col min="10" max="10" width="11.81640625" bestFit="1" customWidth="1"/>
    <col min="11" max="11" width="13.1796875" bestFit="1" customWidth="1"/>
    <col min="12" max="13" width="13.26953125" bestFit="1" customWidth="1"/>
    <col min="14" max="14" width="13.81640625" customWidth="1"/>
    <col min="15" max="15" width="11.81640625" bestFit="1" customWidth="1"/>
    <col min="16" max="16" width="13.1796875" bestFit="1" customWidth="1"/>
    <col min="17" max="17" width="13.26953125" bestFit="1" customWidth="1"/>
    <col min="19" max="21" width="11.81640625" bestFit="1" customWidth="1"/>
    <col min="22" max="22" width="13.26953125" bestFit="1" customWidth="1"/>
  </cols>
  <sheetData>
    <row r="1" spans="1:22" x14ac:dyDescent="0.35">
      <c r="A1" s="2" t="s">
        <v>0</v>
      </c>
      <c r="B1" s="2" t="s">
        <v>1</v>
      </c>
      <c r="C1" s="2" t="s">
        <v>2</v>
      </c>
      <c r="E1" s="4" t="s">
        <v>3</v>
      </c>
      <c r="F1" s="4" t="s">
        <v>4</v>
      </c>
      <c r="H1" s="10" t="s">
        <v>15</v>
      </c>
      <c r="I1" s="10"/>
      <c r="M1" s="10" t="s">
        <v>14</v>
      </c>
      <c r="N1" s="10"/>
    </row>
    <row r="2" spans="1:22" x14ac:dyDescent="0.35">
      <c r="A2" s="3">
        <v>1</v>
      </c>
      <c r="B2" s="3">
        <v>1</v>
      </c>
      <c r="C2" s="3">
        <v>1</v>
      </c>
      <c r="E2" s="5">
        <v>4</v>
      </c>
      <c r="F2" s="5">
        <v>1</v>
      </c>
      <c r="H2" s="8" t="s">
        <v>7</v>
      </c>
      <c r="I2" s="8" t="s">
        <v>8</v>
      </c>
      <c r="J2" s="6" t="s">
        <v>9</v>
      </c>
      <c r="M2" s="8" t="s">
        <v>7</v>
      </c>
      <c r="N2" s="8" t="s">
        <v>8</v>
      </c>
      <c r="O2" s="6" t="s">
        <v>9</v>
      </c>
    </row>
    <row r="3" spans="1:22" x14ac:dyDescent="0.35">
      <c r="A3" s="3">
        <v>2</v>
      </c>
      <c r="B3" s="3">
        <v>4</v>
      </c>
      <c r="C3" s="3">
        <v>1</v>
      </c>
      <c r="E3" s="4" t="s">
        <v>5</v>
      </c>
      <c r="F3" s="4" t="s">
        <v>6</v>
      </c>
      <c r="H3" s="8">
        <f t="shared" ref="H3:H12" si="0">SQRT((B2-$E$2)^2 + (C2-$F$2)^2)</f>
        <v>3</v>
      </c>
      <c r="I3" s="8">
        <f t="shared" ref="I3:I12" si="1">SQRT((B2-$E$4)^2 + (C2-$F$4)^2)</f>
        <v>2.2360679774997898</v>
      </c>
      <c r="J3" s="9" t="str">
        <f>IF(H3&lt;I3,"C1","C2")</f>
        <v>C2</v>
      </c>
      <c r="M3" s="6">
        <f t="shared" ref="M3:M12" si="2">SQRT((B2-$E$8)^2 + (C2-$F$8)^2)</f>
        <v>4.0551750201988126</v>
      </c>
      <c r="N3" s="6">
        <f t="shared" ref="N3:N12" si="3">SQRT((B2-$E$10)^2 + (C2-$F$10)^2)</f>
        <v>3.4345186514775161</v>
      </c>
      <c r="O3" s="9" t="str">
        <f>IF(M3&lt;N3,"C1","C2")</f>
        <v>C2</v>
      </c>
    </row>
    <row r="4" spans="1:22" x14ac:dyDescent="0.35">
      <c r="A4" s="3">
        <v>3</v>
      </c>
      <c r="B4" s="3">
        <v>6</v>
      </c>
      <c r="C4" s="3">
        <v>1</v>
      </c>
      <c r="E4" s="5">
        <v>2</v>
      </c>
      <c r="F4" s="5">
        <v>3</v>
      </c>
      <c r="H4" s="8">
        <f t="shared" si="0"/>
        <v>0</v>
      </c>
      <c r="I4" s="8">
        <f t="shared" si="1"/>
        <v>2.8284271247461903</v>
      </c>
      <c r="J4" s="9" t="str">
        <f>IF(H4&lt;I4,"C1","C2")</f>
        <v>C1</v>
      </c>
      <c r="M4" s="6">
        <f t="shared" si="2"/>
        <v>1.2018504251546631</v>
      </c>
      <c r="N4" s="6">
        <f t="shared" si="3"/>
        <v>3.8465462908103598</v>
      </c>
      <c r="O4" s="9" t="str">
        <f>IF(M4&lt;N4,"C1","C2")</f>
        <v>C1</v>
      </c>
    </row>
    <row r="5" spans="1:22" x14ac:dyDescent="0.35">
      <c r="A5" s="3">
        <v>4</v>
      </c>
      <c r="B5" s="3">
        <v>1</v>
      </c>
      <c r="C5" s="3">
        <v>2</v>
      </c>
      <c r="H5" s="8">
        <f t="shared" si="0"/>
        <v>2</v>
      </c>
      <c r="I5" s="8">
        <f t="shared" si="1"/>
        <v>4.4721359549995796</v>
      </c>
      <c r="J5" s="9" t="str">
        <f>IF(H5&lt;I5,"C1","C2")</f>
        <v>C1</v>
      </c>
      <c r="M5" s="6">
        <f t="shared" si="2"/>
        <v>1.2018504251546631</v>
      </c>
      <c r="N5" s="6">
        <f t="shared" si="3"/>
        <v>5.1764774091409818</v>
      </c>
      <c r="O5" s="9" t="str">
        <f>IF(M5&lt;N5,"C1","C2")</f>
        <v>C1</v>
      </c>
    </row>
    <row r="6" spans="1:22" x14ac:dyDescent="0.35">
      <c r="A6" s="3">
        <v>5</v>
      </c>
      <c r="B6" s="3">
        <v>2</v>
      </c>
      <c r="C6" s="3">
        <v>3</v>
      </c>
      <c r="E6" s="1"/>
      <c r="F6" s="1"/>
      <c r="H6" s="8">
        <f t="shared" si="0"/>
        <v>3.1622776601683795</v>
      </c>
      <c r="I6" s="8">
        <f t="shared" si="1"/>
        <v>1.4142135623730951</v>
      </c>
      <c r="J6" s="9" t="str">
        <f>IF(H6&lt;I6,"C1","C2")</f>
        <v>C2</v>
      </c>
      <c r="M6" s="6">
        <f t="shared" si="2"/>
        <v>4.0138648595974313</v>
      </c>
      <c r="N6" s="6">
        <f t="shared" si="3"/>
        <v>2.4948927423675684</v>
      </c>
      <c r="O6" s="9" t="str">
        <f>IF(M6&lt;N6,"C1","C2")</f>
        <v>C2</v>
      </c>
    </row>
    <row r="7" spans="1:22" x14ac:dyDescent="0.35">
      <c r="A7" s="3">
        <v>6</v>
      </c>
      <c r="B7" s="3">
        <v>5</v>
      </c>
      <c r="C7" s="3">
        <v>3</v>
      </c>
      <c r="E7" s="2" t="s">
        <v>10</v>
      </c>
      <c r="F7" s="2" t="s">
        <v>11</v>
      </c>
      <c r="H7" s="8">
        <f t="shared" si="0"/>
        <v>2.8284271247461903</v>
      </c>
      <c r="I7" s="8">
        <f t="shared" si="1"/>
        <v>0</v>
      </c>
      <c r="J7" s="9" t="str">
        <f>IF(H7&lt;I7,"C1","C2")</f>
        <v>C2</v>
      </c>
      <c r="M7" s="6">
        <f t="shared" si="2"/>
        <v>3.2829526005987018</v>
      </c>
      <c r="N7" s="6">
        <f t="shared" si="3"/>
        <v>1.2857142857142856</v>
      </c>
      <c r="O7" s="9" t="str">
        <f>IF(M7&lt;N7,"C1","C2")</f>
        <v>C2</v>
      </c>
    </row>
    <row r="8" spans="1:22" x14ac:dyDescent="0.35">
      <c r="A8" s="3">
        <v>7</v>
      </c>
      <c r="B8" s="3">
        <v>2</v>
      </c>
      <c r="C8" s="3">
        <v>5</v>
      </c>
      <c r="E8" s="3">
        <f>AVERAGEIF($J$3:$J$12,"C1",$B$2:$B$11)</f>
        <v>5</v>
      </c>
      <c r="F8" s="3">
        <f>AVERAGEIF($J$3:$J$12,"C1",$C$2:$C$11)</f>
        <v>1.6666666666666667</v>
      </c>
      <c r="H8" s="8">
        <f t="shared" si="0"/>
        <v>2.2360679774997898</v>
      </c>
      <c r="I8" s="8">
        <f t="shared" si="1"/>
        <v>3</v>
      </c>
      <c r="J8" s="9" t="str">
        <f>IF(H8&lt;I8,"C1","C2")</f>
        <v>C1</v>
      </c>
      <c r="M8" s="6">
        <f t="shared" si="2"/>
        <v>1.3333333333333333</v>
      </c>
      <c r="N8" s="6">
        <f t="shared" si="3"/>
        <v>3.2639027596559607</v>
      </c>
      <c r="O8" s="9" t="str">
        <f>IF(M8&lt;N8,"C1","C2")</f>
        <v>C1</v>
      </c>
    </row>
    <row r="9" spans="1:22" x14ac:dyDescent="0.35">
      <c r="A9" s="3">
        <v>8</v>
      </c>
      <c r="B9" s="3">
        <v>3</v>
      </c>
      <c r="C9" s="3">
        <v>5</v>
      </c>
      <c r="E9" s="2" t="s">
        <v>12</v>
      </c>
      <c r="F9" s="2" t="s">
        <v>13</v>
      </c>
      <c r="H9" s="8">
        <f t="shared" si="0"/>
        <v>4.4721359549995796</v>
      </c>
      <c r="I9" s="8">
        <f t="shared" si="1"/>
        <v>2</v>
      </c>
      <c r="J9" s="9" t="str">
        <f>IF(H9&lt;I9,"C1","C2")</f>
        <v>C2</v>
      </c>
      <c r="M9" s="6">
        <f t="shared" si="2"/>
        <v>4.4845413490245694</v>
      </c>
      <c r="N9" s="6">
        <f t="shared" si="3"/>
        <v>0.71428571428571441</v>
      </c>
      <c r="O9" s="9" t="str">
        <f>IF(M9&lt;N9,"C1","C2")</f>
        <v>C2</v>
      </c>
    </row>
    <row r="10" spans="1:22" x14ac:dyDescent="0.35">
      <c r="A10" s="3">
        <v>9</v>
      </c>
      <c r="B10" s="3">
        <v>2</v>
      </c>
      <c r="C10" s="3">
        <v>6</v>
      </c>
      <c r="E10" s="3">
        <f>AVERAGEIF($J$3:$J$12,"C2",$B$2:$B$11)</f>
        <v>2</v>
      </c>
      <c r="F10" s="3">
        <f>AVERAGEIF($J$3:$J$12,"C2",$C$2:$C$11)</f>
        <v>4.2857142857142856</v>
      </c>
      <c r="H10" s="8">
        <f t="shared" si="0"/>
        <v>4.1231056256176606</v>
      </c>
      <c r="I10" s="8">
        <f t="shared" si="1"/>
        <v>2.2360679774997898</v>
      </c>
      <c r="J10" s="9" t="str">
        <f>IF(H10&lt;I10,"C1","C2")</f>
        <v>C2</v>
      </c>
      <c r="M10" s="6">
        <f t="shared" si="2"/>
        <v>3.8873012632302002</v>
      </c>
      <c r="N10" s="6">
        <f t="shared" si="3"/>
        <v>1.2289036095775183</v>
      </c>
      <c r="O10" s="9" t="str">
        <f>IF(M10&lt;N10,"C1","C2")</f>
        <v>C2</v>
      </c>
    </row>
    <row r="11" spans="1:22" x14ac:dyDescent="0.35">
      <c r="A11" s="3">
        <v>10</v>
      </c>
      <c r="B11" s="3">
        <v>3</v>
      </c>
      <c r="C11" s="3">
        <v>8</v>
      </c>
      <c r="H11" s="8">
        <f t="shared" si="0"/>
        <v>5.3851648071345037</v>
      </c>
      <c r="I11" s="8">
        <f t="shared" si="1"/>
        <v>3</v>
      </c>
      <c r="J11" s="9" t="str">
        <f>IF(H11&lt;I11,"C1","C2")</f>
        <v>C2</v>
      </c>
      <c r="M11" s="6">
        <f t="shared" si="2"/>
        <v>5.2704627669472988</v>
      </c>
      <c r="N11" s="6">
        <f t="shared" si="3"/>
        <v>1.7142857142857144</v>
      </c>
      <c r="O11" s="9" t="str">
        <f>IF(M11&lt;N11,"C1","C2")</f>
        <v>C2</v>
      </c>
    </row>
    <row r="12" spans="1:22" x14ac:dyDescent="0.35">
      <c r="H12" s="8">
        <f t="shared" si="0"/>
        <v>7.0710678118654755</v>
      </c>
      <c r="I12" s="8">
        <f t="shared" si="1"/>
        <v>5.0990195135927845</v>
      </c>
      <c r="J12" s="9" t="str">
        <f>IF(H12&lt;I12,"C1","C2")</f>
        <v>C2</v>
      </c>
      <c r="M12" s="6">
        <f t="shared" si="2"/>
        <v>6.641619615057091</v>
      </c>
      <c r="N12" s="6">
        <f t="shared" si="3"/>
        <v>3.8465462908103603</v>
      </c>
      <c r="O12" s="9" t="str">
        <f>IF(M12&lt;N12,"C1","C2")</f>
        <v>C2</v>
      </c>
    </row>
    <row r="14" spans="1:22" x14ac:dyDescent="0.35">
      <c r="E14" s="14" t="s">
        <v>25</v>
      </c>
      <c r="F14" s="14"/>
      <c r="G14" s="14"/>
      <c r="H14" s="14"/>
      <c r="I14" s="14"/>
      <c r="J14" s="14"/>
      <c r="K14" s="14"/>
      <c r="L14" s="14"/>
    </row>
    <row r="15" spans="1:22" ht="29" x14ac:dyDescent="0.35">
      <c r="A15" s="12" t="s">
        <v>16</v>
      </c>
      <c r="B15" s="12" t="s">
        <v>17</v>
      </c>
      <c r="C15" s="13" t="s">
        <v>18</v>
      </c>
      <c r="E15" s="2" t="s">
        <v>19</v>
      </c>
      <c r="F15" s="2" t="s">
        <v>17</v>
      </c>
      <c r="G15" s="2" t="s">
        <v>18</v>
      </c>
      <c r="H15" s="2" t="s">
        <v>31</v>
      </c>
      <c r="I15" s="11" t="s">
        <v>29</v>
      </c>
      <c r="J15" s="11"/>
      <c r="K15" s="11"/>
      <c r="L15" s="8" t="s">
        <v>24</v>
      </c>
      <c r="N15" s="11" t="s">
        <v>28</v>
      </c>
      <c r="O15" s="11"/>
      <c r="P15" s="11"/>
      <c r="Q15" s="7" t="s">
        <v>24</v>
      </c>
      <c r="S15" s="11" t="s">
        <v>30</v>
      </c>
      <c r="T15" s="11"/>
      <c r="U15" s="11"/>
      <c r="V15" s="7" t="s">
        <v>24</v>
      </c>
    </row>
    <row r="16" spans="1:22" x14ac:dyDescent="0.35">
      <c r="A16" s="12">
        <v>1</v>
      </c>
      <c r="B16" s="12">
        <v>8270</v>
      </c>
      <c r="C16" s="12">
        <v>12</v>
      </c>
      <c r="E16" s="2" t="s">
        <v>20</v>
      </c>
      <c r="F16" s="3">
        <v>1860</v>
      </c>
      <c r="G16" s="3">
        <v>7</v>
      </c>
      <c r="H16" s="3">
        <f>COUNTIF($L$16:$L$45,"C1")</f>
        <v>12</v>
      </c>
      <c r="I16" s="8" t="s">
        <v>7</v>
      </c>
      <c r="J16" s="8" t="s">
        <v>8</v>
      </c>
      <c r="K16" s="8" t="s">
        <v>23</v>
      </c>
      <c r="L16" s="8" t="str">
        <f>IF(AND(I17&lt;J17,I17&lt;K17),"C1",IF(AND(J17&lt;I17,J17&lt;K17),"C2","C3"))</f>
        <v>C3</v>
      </c>
      <c r="N16" s="8" t="s">
        <v>7</v>
      </c>
      <c r="O16" s="8" t="s">
        <v>8</v>
      </c>
      <c r="P16" s="9" t="s">
        <v>23</v>
      </c>
      <c r="Q16" s="9" t="str">
        <f t="shared" ref="Q16:Q45" si="4">IF(AND(N17&lt;O17,N17&lt;P17),"C1",IF(AND(O17&lt;N17,O17&lt;P17),"C2","C3"))</f>
        <v>C3</v>
      </c>
      <c r="S16" s="8" t="s">
        <v>7</v>
      </c>
      <c r="T16" s="8" t="s">
        <v>8</v>
      </c>
      <c r="U16" s="9" t="s">
        <v>23</v>
      </c>
      <c r="V16" s="9" t="str">
        <f>IF(AND(S17&lt;T17,S17&lt;U17),"C1",IF(AND(T17&lt;S17,T17&lt;U17),"C2","C3"))</f>
        <v>C1</v>
      </c>
    </row>
    <row r="17" spans="1:22" x14ac:dyDescent="0.35">
      <c r="A17" s="12">
        <v>2</v>
      </c>
      <c r="B17" s="12">
        <v>1860</v>
      </c>
      <c r="C17" s="12">
        <v>7</v>
      </c>
      <c r="E17" s="2" t="s">
        <v>21</v>
      </c>
      <c r="F17" s="3">
        <v>6734</v>
      </c>
      <c r="G17" s="3">
        <v>3</v>
      </c>
      <c r="H17" s="3">
        <f>COUNTIF($L$16:$L$45,"C2")</f>
        <v>13</v>
      </c>
      <c r="I17" s="8">
        <f>SQRT((B16 - $F$16)^2 + (C16 - $G$16)^2)</f>
        <v>6410.0019500777062</v>
      </c>
      <c r="J17" s="8">
        <f>SQRT((B16 - $F$17)^2 + (C16 - $G$17)^2)</f>
        <v>1536.0263669611925</v>
      </c>
      <c r="K17" s="8">
        <f>SQRT((B16 - $F$18)^2 + (C16 - $G$18)^2)</f>
        <v>1052.0042775578434</v>
      </c>
      <c r="L17" s="8" t="str">
        <f t="shared" ref="L17:L45" si="5">IF(AND(I18&lt;J18,I18&lt;K18),"C1",IF(AND(J18&lt;I18,J18&lt;K18),"C2","C3"))</f>
        <v>C1</v>
      </c>
      <c r="N17" s="8">
        <f>SQRT((C16 - B16)^2 + ($G$22 - $F$22)^2)</f>
        <v>8692.9365902725876</v>
      </c>
      <c r="O17" s="8">
        <f>SQRT((B16 - $F$23)^2 + (C16 - $G$23)^2)</f>
        <v>1835.314928717675</v>
      </c>
      <c r="P17" s="9">
        <f>SQRT((B16 - $F$24)^2 + (C16 - $G$24)^2)</f>
        <v>83.116544682752547</v>
      </c>
      <c r="Q17" s="9" t="str">
        <f t="shared" si="4"/>
        <v>C1</v>
      </c>
      <c r="S17" s="8">
        <f>SQRT((C16 - B16)^2 + ($G$28 - $F$28)^2)</f>
        <v>8428.5546210486173</v>
      </c>
      <c r="T17" s="8">
        <f>SQRT((C16 - B16)^2 + ($G$29 - $F$29)^2)</f>
        <v>9652.4537927644742</v>
      </c>
      <c r="U17" s="9">
        <f>SQRT((C16 - B16)^2 + ($G$30 - $F$30)^2)</f>
        <v>11538.993770072211</v>
      </c>
      <c r="V17" s="9" t="str">
        <f t="shared" ref="V17:V45" si="6">IF(AND(S18&lt;T18,S18&lt;U18),"C1",IF(AND(T18&lt;S18,T18&lt;U18),"C2","C3"))</f>
        <v>C1</v>
      </c>
    </row>
    <row r="18" spans="1:22" x14ac:dyDescent="0.35">
      <c r="A18" s="12">
        <v>3</v>
      </c>
      <c r="B18" s="12">
        <v>6390</v>
      </c>
      <c r="C18" s="12">
        <v>4</v>
      </c>
      <c r="E18" s="2" t="s">
        <v>22</v>
      </c>
      <c r="F18" s="3">
        <v>9322</v>
      </c>
      <c r="G18" s="3">
        <v>9</v>
      </c>
      <c r="H18" s="3">
        <f>COUNTIF($L$16:$L$45,"C3")</f>
        <v>5</v>
      </c>
      <c r="I18" s="8">
        <f t="shared" ref="I18:I45" si="7">SQRT((B17 - $F$16)^2 + (C17 - $G$16)^2)</f>
        <v>0</v>
      </c>
      <c r="J18" s="8">
        <f t="shared" ref="J18:J45" si="8">SQRT((B17 - $F$17)^2 + (C17 - $G$17)^2)</f>
        <v>4874.0016413620542</v>
      </c>
      <c r="K18" s="8">
        <f t="shared" ref="K18:K45" si="9">SQRT((B17 - $F$18)^2 + (C17 - $G$18)^2)</f>
        <v>7462.0002680246535</v>
      </c>
      <c r="L18" s="8" t="str">
        <f t="shared" si="5"/>
        <v>C2</v>
      </c>
      <c r="N18" s="8">
        <f t="shared" ref="N18:N45" si="10">SQRT((C17 - B17)^2 + ($G$22 - $F$22)^2)</f>
        <v>3287.2772262923004</v>
      </c>
      <c r="O18" s="8">
        <f t="shared" ref="O18:O45" si="11">SQRT((B17 - $F$23)^2 + (C17 - $G$23)^2)</f>
        <v>4574.692310279218</v>
      </c>
      <c r="P18" s="9">
        <f t="shared" ref="P18:P45" si="12">SQRT((B17 - $F$24)^2 + (C17 - $G$24)^2)</f>
        <v>6493.0000277221625</v>
      </c>
      <c r="Q18" s="9" t="str">
        <f t="shared" si="4"/>
        <v>C2</v>
      </c>
      <c r="S18" s="8">
        <f t="shared" ref="S18:S45" si="13">SQRT((C17 - B17)^2 + ($G$28 - $F$28)^2)</f>
        <v>2505.9086176474993</v>
      </c>
      <c r="T18" s="8">
        <f t="shared" ref="T18:T45" si="14">SQRT((C17 - B17)^2 + ($G$29 - $F$29)^2)</f>
        <v>5330.000865051833</v>
      </c>
      <c r="U18" s="9">
        <f>SQRT((C17 - B17)^2 + ($G$30 - $F$30)^2)</f>
        <v>8269.6688099200983</v>
      </c>
      <c r="V18" s="9" t="str">
        <f t="shared" si="6"/>
        <v>C1</v>
      </c>
    </row>
    <row r="19" spans="1:22" x14ac:dyDescent="0.35">
      <c r="A19" s="12">
        <v>4</v>
      </c>
      <c r="B19" s="12">
        <v>6191</v>
      </c>
      <c r="C19" s="12">
        <v>9</v>
      </c>
      <c r="E19" s="14"/>
      <c r="F19" s="14"/>
      <c r="G19" s="14"/>
      <c r="H19" s="14"/>
      <c r="I19" s="8">
        <f t="shared" si="7"/>
        <v>4530.0009933773745</v>
      </c>
      <c r="J19" s="8">
        <f t="shared" si="8"/>
        <v>344.0014534853014</v>
      </c>
      <c r="K19" s="8">
        <f t="shared" si="9"/>
        <v>2932.0042632984009</v>
      </c>
      <c r="L19" s="8" t="str">
        <f t="shared" si="5"/>
        <v>C2</v>
      </c>
      <c r="N19" s="8">
        <f>SQRT((C18 - B18)^2 + ($G$22 - $F$22)^2)</f>
        <v>6939.2779568554533</v>
      </c>
      <c r="O19" s="8">
        <f t="shared" si="11"/>
        <v>44.782842234274007</v>
      </c>
      <c r="P19" s="9">
        <f t="shared" si="12"/>
        <v>1963.0033010670156</v>
      </c>
      <c r="Q19" s="9" t="str">
        <f t="shared" si="4"/>
        <v>C2</v>
      </c>
      <c r="S19" s="8">
        <f>SQRT((C18 - B18)^2 + ($G$28 - $F$28)^2)</f>
        <v>6605.0711578301716</v>
      </c>
      <c r="T19" s="8">
        <f t="shared" si="14"/>
        <v>8109.0256024662604</v>
      </c>
      <c r="U19" s="9">
        <f t="shared" ref="U19:U46" si="15">SQRT((C18 - B18)^2 + ($G$30 - $F$30)^2)</f>
        <v>10282.743273356838</v>
      </c>
      <c r="V19" s="9" t="str">
        <f t="shared" si="6"/>
        <v>C1</v>
      </c>
    </row>
    <row r="20" spans="1:22" x14ac:dyDescent="0.35">
      <c r="A20" s="12">
        <v>5</v>
      </c>
      <c r="B20" s="12">
        <v>6734</v>
      </c>
      <c r="C20" s="12">
        <v>3</v>
      </c>
      <c r="E20" s="14" t="s">
        <v>26</v>
      </c>
      <c r="F20" s="14"/>
      <c r="G20" s="14"/>
      <c r="H20" s="14"/>
      <c r="I20" s="8">
        <f t="shared" si="7"/>
        <v>4331.0004617870918</v>
      </c>
      <c r="J20" s="8">
        <f>SQRT((B19 - $F$17)^2 + (C19 - $G$17)^2)</f>
        <v>543.03314815948386</v>
      </c>
      <c r="K20" s="8">
        <f t="shared" si="9"/>
        <v>3131</v>
      </c>
      <c r="L20" s="8" t="str">
        <f t="shared" si="5"/>
        <v>C2</v>
      </c>
      <c r="N20" s="8">
        <f t="shared" si="10"/>
        <v>6752.0150001684679</v>
      </c>
      <c r="O20" s="8">
        <f t="shared" si="11"/>
        <v>243.7018257659486</v>
      </c>
      <c r="P20" s="9">
        <f t="shared" si="12"/>
        <v>2162.0004532839489</v>
      </c>
      <c r="Q20" s="9" t="str">
        <f t="shared" si="4"/>
        <v>C2</v>
      </c>
      <c r="S20" s="8">
        <f t="shared" si="13"/>
        <v>6408.0490790879558</v>
      </c>
      <c r="T20" s="8">
        <f t="shared" si="14"/>
        <v>7949.3662779779679</v>
      </c>
      <c r="U20" s="9">
        <f t="shared" si="15"/>
        <v>10157.309546615446</v>
      </c>
      <c r="V20" s="9" t="str">
        <f t="shared" si="6"/>
        <v>C1</v>
      </c>
    </row>
    <row r="21" spans="1:22" ht="29" x14ac:dyDescent="0.35">
      <c r="A21" s="12">
        <v>6</v>
      </c>
      <c r="B21" s="12">
        <v>7265</v>
      </c>
      <c r="C21" s="12">
        <v>5</v>
      </c>
      <c r="E21" s="2" t="s">
        <v>19</v>
      </c>
      <c r="F21" s="2" t="s">
        <v>17</v>
      </c>
      <c r="G21" s="2" t="s">
        <v>18</v>
      </c>
      <c r="H21" s="2" t="s">
        <v>31</v>
      </c>
      <c r="I21" s="8">
        <f t="shared" si="7"/>
        <v>4874.0016413620542</v>
      </c>
      <c r="J21" s="8">
        <f t="shared" si="8"/>
        <v>0</v>
      </c>
      <c r="K21" s="8">
        <f t="shared" si="9"/>
        <v>2588.0069551683973</v>
      </c>
      <c r="L21" s="8" t="str">
        <f t="shared" si="5"/>
        <v>C2</v>
      </c>
      <c r="N21" s="8">
        <f t="shared" si="10"/>
        <v>7258.0261478242137</v>
      </c>
      <c r="O21" s="8">
        <f t="shared" si="11"/>
        <v>299.33240314734479</v>
      </c>
      <c r="P21" s="9">
        <f t="shared" si="12"/>
        <v>1619.0065348848966</v>
      </c>
      <c r="Q21" s="9" t="str">
        <f t="shared" si="4"/>
        <v>C2</v>
      </c>
      <c r="S21" s="8">
        <f t="shared" si="13"/>
        <v>6939.1879928418139</v>
      </c>
      <c r="T21" s="8">
        <f t="shared" si="14"/>
        <v>8383.415844478508</v>
      </c>
      <c r="U21" s="9">
        <f t="shared" si="15"/>
        <v>10500.484475764217</v>
      </c>
      <c r="V21" s="9" t="str">
        <f t="shared" si="6"/>
        <v>C1</v>
      </c>
    </row>
    <row r="22" spans="1:22" x14ac:dyDescent="0.35">
      <c r="A22" s="12">
        <v>7</v>
      </c>
      <c r="B22" s="12">
        <v>1466</v>
      </c>
      <c r="C22" s="12">
        <v>3</v>
      </c>
      <c r="E22" s="2" t="s">
        <v>20</v>
      </c>
      <c r="F22" s="8">
        <f>AVERAGEIF($L$16:$L$45,"C1",$B$16:$B$45)</f>
        <v>2723.0833333333335</v>
      </c>
      <c r="G22" s="8">
        <f>AVERAGEIF($L$16:$L$45,"C1",$C$16:$C$45)</f>
        <v>7.833333333333333</v>
      </c>
      <c r="H22" s="3">
        <f>COUNTIF($Q$16:$Q$45,"C1")</f>
        <v>5</v>
      </c>
      <c r="I22" s="8">
        <f t="shared" si="7"/>
        <v>5405.0003700277393</v>
      </c>
      <c r="J22" s="8">
        <f t="shared" si="8"/>
        <v>531.00376646498466</v>
      </c>
      <c r="K22" s="8">
        <f t="shared" si="9"/>
        <v>2057.0038891552927</v>
      </c>
      <c r="L22" s="8" t="str">
        <f t="shared" si="5"/>
        <v>C1</v>
      </c>
      <c r="N22" s="8">
        <f t="shared" si="10"/>
        <v>7751.1407265318048</v>
      </c>
      <c r="O22" s="8">
        <f t="shared" si="11"/>
        <v>830.30974472744151</v>
      </c>
      <c r="P22" s="9">
        <f t="shared" si="12"/>
        <v>1088.0031066132119</v>
      </c>
      <c r="Q22" s="9" t="str">
        <f t="shared" si="4"/>
        <v>C1</v>
      </c>
      <c r="S22" s="8">
        <f t="shared" si="13"/>
        <v>7453.4266616100813</v>
      </c>
      <c r="T22" s="8">
        <f t="shared" si="14"/>
        <v>8813.7903436293109</v>
      </c>
      <c r="U22" s="9">
        <f t="shared" si="15"/>
        <v>10847.184575997833</v>
      </c>
      <c r="V22" s="9" t="str">
        <f t="shared" si="6"/>
        <v>C1</v>
      </c>
    </row>
    <row r="23" spans="1:22" x14ac:dyDescent="0.35">
      <c r="A23" s="12">
        <v>8</v>
      </c>
      <c r="B23" s="12">
        <v>5426</v>
      </c>
      <c r="C23" s="12">
        <v>7</v>
      </c>
      <c r="E23" s="2" t="s">
        <v>21</v>
      </c>
      <c r="F23" s="8">
        <f>AVERAGEIF($L$16:$L$45,"C2",$B$16:$B$45)</f>
        <v>6434.6923076923076</v>
      </c>
      <c r="G23" s="8">
        <f>AVERAGEIF($L$16:$L$45,"C2",$C$16:$C$45)</f>
        <v>6.8461538461538458</v>
      </c>
      <c r="H23" s="3">
        <f>COUNTIF($Q$16:$Q$45,"C2")</f>
        <v>17</v>
      </c>
      <c r="I23" s="8">
        <f t="shared" si="7"/>
        <v>394.02030404536259</v>
      </c>
      <c r="J23" s="8">
        <f t="shared" si="8"/>
        <v>5268</v>
      </c>
      <c r="K23" s="8">
        <f t="shared" si="9"/>
        <v>7856.0022912420282</v>
      </c>
      <c r="L23" s="8" t="str">
        <f t="shared" si="5"/>
        <v>C2</v>
      </c>
      <c r="N23" s="8">
        <f t="shared" si="10"/>
        <v>3084.3073067546302</v>
      </c>
      <c r="O23" s="8">
        <f t="shared" si="11"/>
        <v>4968.6937963030205</v>
      </c>
      <c r="P23" s="9">
        <f t="shared" si="12"/>
        <v>6887.0015362275035</v>
      </c>
      <c r="Q23" s="9" t="str">
        <f t="shared" si="4"/>
        <v>C2</v>
      </c>
      <c r="S23" s="8">
        <f t="shared" si="13"/>
        <v>2233.0109717598793</v>
      </c>
      <c r="T23" s="8">
        <f t="shared" si="14"/>
        <v>5207.270803545106</v>
      </c>
      <c r="U23" s="9">
        <f t="shared" si="15"/>
        <v>8191.1038465987785</v>
      </c>
      <c r="V23" s="9" t="str">
        <f t="shared" si="6"/>
        <v>C1</v>
      </c>
    </row>
    <row r="24" spans="1:22" x14ac:dyDescent="0.35">
      <c r="A24" s="12">
        <v>9</v>
      </c>
      <c r="B24" s="12">
        <v>6578</v>
      </c>
      <c r="C24" s="12">
        <v>5</v>
      </c>
      <c r="E24" s="2" t="s">
        <v>22</v>
      </c>
      <c r="F24" s="8">
        <f>AVERAGEIF($L$16:$L$45,"C3",$B$16:$B$45)</f>
        <v>8353</v>
      </c>
      <c r="G24" s="8">
        <f>AVERAGEIF($L$16:$L$45,"C3",$C$16:$C$45)</f>
        <v>7.6</v>
      </c>
      <c r="H24" s="3">
        <f>COUNTIF($Q$16:$Q$45,"C3")</f>
        <v>8</v>
      </c>
      <c r="I24" s="8">
        <f t="shared" si="7"/>
        <v>3566</v>
      </c>
      <c r="J24" s="8">
        <f t="shared" si="8"/>
        <v>1308.0061161936515</v>
      </c>
      <c r="K24" s="8">
        <f t="shared" si="9"/>
        <v>3896.0005133469886</v>
      </c>
      <c r="L24" s="8" t="str">
        <f t="shared" si="5"/>
        <v>C2</v>
      </c>
      <c r="N24" s="8">
        <f t="shared" si="10"/>
        <v>6061.1998451214258</v>
      </c>
      <c r="O24" s="8">
        <f t="shared" si="11"/>
        <v>1008.692319424646</v>
      </c>
      <c r="P24" s="9">
        <f t="shared" si="12"/>
        <v>2927.0000614964119</v>
      </c>
      <c r="Q24" s="9" t="str">
        <f t="shared" si="4"/>
        <v>C2</v>
      </c>
      <c r="S24" s="8">
        <f t="shared" si="13"/>
        <v>5675.5202404713527</v>
      </c>
      <c r="T24" s="8">
        <f t="shared" si="14"/>
        <v>7371.6254124482812</v>
      </c>
      <c r="U24" s="9">
        <f t="shared" si="15"/>
        <v>9711.816216638641</v>
      </c>
      <c r="V24" s="9" t="str">
        <f t="shared" si="6"/>
        <v>C1</v>
      </c>
    </row>
    <row r="25" spans="1:22" x14ac:dyDescent="0.35">
      <c r="A25" s="12">
        <v>10</v>
      </c>
      <c r="B25" s="12">
        <v>9322</v>
      </c>
      <c r="C25" s="12">
        <v>9</v>
      </c>
      <c r="E25" s="14"/>
      <c r="F25" s="14"/>
      <c r="G25" s="14"/>
      <c r="H25" s="14"/>
      <c r="I25" s="8">
        <f t="shared" si="7"/>
        <v>4718.0004239084165</v>
      </c>
      <c r="J25" s="8">
        <f t="shared" si="8"/>
        <v>156.01281998605114</v>
      </c>
      <c r="K25" s="8">
        <f t="shared" si="9"/>
        <v>2744.0029154503463</v>
      </c>
      <c r="L25" s="8" t="str">
        <f t="shared" si="5"/>
        <v>C3</v>
      </c>
      <c r="N25" s="8">
        <f t="shared" si="10"/>
        <v>7111.7446215749342</v>
      </c>
      <c r="O25" s="8">
        <f t="shared" si="11"/>
        <v>143.31958330451531</v>
      </c>
      <c r="P25" s="9">
        <f t="shared" si="12"/>
        <v>1775.0019042243307</v>
      </c>
      <c r="Q25" s="9" t="str">
        <f t="shared" si="4"/>
        <v>C3</v>
      </c>
      <c r="S25" s="8">
        <f t="shared" si="13"/>
        <v>6786.0369878154952</v>
      </c>
      <c r="T25" s="8">
        <f t="shared" si="14"/>
        <v>8257.0956892513532</v>
      </c>
      <c r="U25" s="9">
        <f t="shared" si="15"/>
        <v>10399.910683547494</v>
      </c>
      <c r="V25" s="9" t="str">
        <f t="shared" si="6"/>
        <v>C1</v>
      </c>
    </row>
    <row r="26" spans="1:22" x14ac:dyDescent="0.35">
      <c r="A26" s="12">
        <v>11</v>
      </c>
      <c r="B26" s="12">
        <v>2685</v>
      </c>
      <c r="C26" s="12">
        <v>7</v>
      </c>
      <c r="E26" s="14" t="s">
        <v>27</v>
      </c>
      <c r="F26" s="14"/>
      <c r="G26" s="14"/>
      <c r="H26" s="14"/>
      <c r="I26" s="8">
        <f t="shared" si="7"/>
        <v>7462.0002680246535</v>
      </c>
      <c r="J26" s="8">
        <f t="shared" si="8"/>
        <v>2588.0069551683973</v>
      </c>
      <c r="K26" s="8">
        <f t="shared" si="9"/>
        <v>0</v>
      </c>
      <c r="L26" s="8" t="str">
        <f t="shared" si="5"/>
        <v>C1</v>
      </c>
      <c r="N26" s="8">
        <f t="shared" si="10"/>
        <v>9700.7500515424072</v>
      </c>
      <c r="O26" s="8">
        <f t="shared" si="11"/>
        <v>2887.3084956603489</v>
      </c>
      <c r="P26" s="9">
        <f t="shared" si="12"/>
        <v>969.00101135138141</v>
      </c>
      <c r="Q26" s="9" t="str">
        <f t="shared" si="4"/>
        <v>C2</v>
      </c>
      <c r="S26" s="8">
        <f t="shared" si="13"/>
        <v>9464.5622191414641</v>
      </c>
      <c r="T26" s="8">
        <f t="shared" si="14"/>
        <v>10569.165966217641</v>
      </c>
      <c r="U26" s="9">
        <f t="shared" si="15"/>
        <v>12316.078199888359</v>
      </c>
      <c r="V26" s="9" t="str">
        <f t="shared" si="6"/>
        <v>C1</v>
      </c>
    </row>
    <row r="27" spans="1:22" ht="29" x14ac:dyDescent="0.35">
      <c r="A27" s="12">
        <v>12</v>
      </c>
      <c r="B27" s="12">
        <v>1769</v>
      </c>
      <c r="C27" s="12">
        <v>2</v>
      </c>
      <c r="E27" s="2" t="s">
        <v>19</v>
      </c>
      <c r="F27" s="2" t="s">
        <v>17</v>
      </c>
      <c r="G27" s="2" t="s">
        <v>18</v>
      </c>
      <c r="H27" s="2" t="s">
        <v>31</v>
      </c>
      <c r="I27" s="8">
        <f t="shared" si="7"/>
        <v>825</v>
      </c>
      <c r="J27" s="8">
        <f t="shared" si="8"/>
        <v>4049.0019757960108</v>
      </c>
      <c r="K27" s="8">
        <f t="shared" si="9"/>
        <v>6637.0003013409605</v>
      </c>
      <c r="L27" s="8" t="str">
        <f t="shared" si="5"/>
        <v>C1</v>
      </c>
      <c r="N27" s="8">
        <f t="shared" si="10"/>
        <v>3813.6946079228737</v>
      </c>
      <c r="O27" s="8">
        <f t="shared" si="11"/>
        <v>3749.6923108483852</v>
      </c>
      <c r="P27" s="9">
        <f t="shared" si="12"/>
        <v>5668.000031757233</v>
      </c>
      <c r="Q27" s="9" t="str">
        <f t="shared" si="4"/>
        <v>C1</v>
      </c>
      <c r="S27" s="8">
        <f t="shared" si="13"/>
        <v>3165.0676138117492</v>
      </c>
      <c r="T27" s="8">
        <f t="shared" si="14"/>
        <v>5669.8310575759915</v>
      </c>
      <c r="U27" s="9">
        <f t="shared" si="15"/>
        <v>8492.6731495899039</v>
      </c>
      <c r="V27" s="9" t="str">
        <f>IF(AND(S27&lt;T27,S27&lt;U27),"C1",IF(AND(T27&lt;S27,T27&lt;U27),"C2","C3"))</f>
        <v>C1</v>
      </c>
    </row>
    <row r="28" spans="1:22" x14ac:dyDescent="0.35">
      <c r="A28" s="12">
        <v>13</v>
      </c>
      <c r="B28" s="12">
        <v>7949</v>
      </c>
      <c r="C28" s="12">
        <v>4</v>
      </c>
      <c r="E28" s="2" t="s">
        <v>20</v>
      </c>
      <c r="F28" s="8">
        <f>AVERAGEIF($Q$16:$Q$45,"C1",$B$16:$B$45)</f>
        <v>1693.6</v>
      </c>
      <c r="G28" s="8">
        <f>AVERAGEIF($Q$17:$Q$46,"C1",$C$16:$C$45)</f>
        <v>6.6</v>
      </c>
      <c r="H28" s="3">
        <f>COUNTIF($V$16:$V$45,"C1")</f>
        <v>29</v>
      </c>
      <c r="I28" s="8">
        <f t="shared" si="7"/>
        <v>91.13725912051558</v>
      </c>
      <c r="J28" s="8">
        <f t="shared" si="8"/>
        <v>4965.0001007049332</v>
      </c>
      <c r="K28" s="8">
        <f t="shared" si="9"/>
        <v>7553.0032437435111</v>
      </c>
      <c r="L28" s="8" t="str">
        <f t="shared" si="5"/>
        <v>C2</v>
      </c>
      <c r="N28" s="8">
        <f t="shared" si="10"/>
        <v>3239.5789174675156</v>
      </c>
      <c r="O28" s="8">
        <f t="shared" si="11"/>
        <v>4665.6948244893028</v>
      </c>
      <c r="P28" s="9">
        <f t="shared" si="12"/>
        <v>6584.0023815305531</v>
      </c>
      <c r="Q28" s="9" t="str">
        <f t="shared" si="4"/>
        <v>C3</v>
      </c>
      <c r="S28" s="8">
        <f t="shared" si="13"/>
        <v>2443.0018419968496</v>
      </c>
      <c r="T28" s="8">
        <f t="shared" si="14"/>
        <v>5300.7159159356288</v>
      </c>
      <c r="U28" s="9">
        <f t="shared" si="15"/>
        <v>8250.8243361354689</v>
      </c>
      <c r="V28" s="9" t="str">
        <f t="shared" si="6"/>
        <v>C1</v>
      </c>
    </row>
    <row r="29" spans="1:22" x14ac:dyDescent="0.35">
      <c r="A29" s="12">
        <v>14</v>
      </c>
      <c r="B29" s="12">
        <v>3433</v>
      </c>
      <c r="C29" s="12">
        <v>9</v>
      </c>
      <c r="E29" s="2" t="s">
        <v>21</v>
      </c>
      <c r="F29" s="8">
        <f>AVERAGEIF($Q$16:$Q$45,"C2",$B$16:$B$45)</f>
        <v>5005.588235294118</v>
      </c>
      <c r="G29" s="8">
        <f>AVERAGEIF($Q$17:$Q$46,"C2",$C$16:$C$45)</f>
        <v>8.0588235294117645</v>
      </c>
      <c r="H29" s="3">
        <f>COUNTIF($V$16:$V$45,"C2")</f>
        <v>0</v>
      </c>
      <c r="I29" s="8">
        <f t="shared" si="7"/>
        <v>6089.000739037564</v>
      </c>
      <c r="J29" s="8">
        <f t="shared" si="8"/>
        <v>1215.000411522564</v>
      </c>
      <c r="K29" s="8">
        <f t="shared" si="9"/>
        <v>1373.0091041213091</v>
      </c>
      <c r="L29" s="8" t="str">
        <f t="shared" si="5"/>
        <v>C1</v>
      </c>
      <c r="N29" s="8">
        <f t="shared" si="10"/>
        <v>8396.1662419523345</v>
      </c>
      <c r="O29" s="8">
        <f t="shared" si="11"/>
        <v>1514.3103669901902</v>
      </c>
      <c r="P29" s="9">
        <f t="shared" si="12"/>
        <v>404.01603928557091</v>
      </c>
      <c r="Q29" s="9" t="str">
        <f t="shared" si="4"/>
        <v>C2</v>
      </c>
      <c r="S29" s="8">
        <f t="shared" si="13"/>
        <v>8122.1298930760768</v>
      </c>
      <c r="T29" s="8">
        <f t="shared" si="14"/>
        <v>9386.0708084615089</v>
      </c>
      <c r="U29" s="9">
        <f t="shared" si="15"/>
        <v>11317.103791419662</v>
      </c>
      <c r="V29" s="9" t="str">
        <f t="shared" si="6"/>
        <v>C1</v>
      </c>
    </row>
    <row r="30" spans="1:22" x14ac:dyDescent="0.35">
      <c r="A30" s="12">
        <v>15</v>
      </c>
      <c r="B30" s="12">
        <v>6311</v>
      </c>
      <c r="C30" s="12">
        <v>12</v>
      </c>
      <c r="E30" s="2" t="s">
        <v>22</v>
      </c>
      <c r="F30" s="8">
        <f>AVERAGEIF($Q$16:$Q$45,"C3",$B$16:$B$45)</f>
        <v>8066.25</v>
      </c>
      <c r="G30" s="8">
        <f>AVERAGEIF($Q$17:$Q$46,"C3",$C$16:$C$45)</f>
        <v>6.8571428571428568</v>
      </c>
      <c r="H30" s="3">
        <f>COUNTIF($V$16:$V$45,"C3")</f>
        <v>1</v>
      </c>
      <c r="I30" s="8">
        <f t="shared" si="7"/>
        <v>1573.0012714553031</v>
      </c>
      <c r="J30" s="8">
        <f t="shared" si="8"/>
        <v>3301.0054528885589</v>
      </c>
      <c r="K30" s="8">
        <f t="shared" si="9"/>
        <v>5889</v>
      </c>
      <c r="L30" s="8" t="str">
        <f t="shared" si="5"/>
        <v>C2</v>
      </c>
      <c r="N30" s="8">
        <f t="shared" si="10"/>
        <v>4369.9380501901851</v>
      </c>
      <c r="O30" s="8">
        <f t="shared" si="11"/>
        <v>3001.6930804318463</v>
      </c>
      <c r="P30" s="9">
        <f t="shared" si="12"/>
        <v>4920.0001991869876</v>
      </c>
      <c r="Q30" s="9" t="str">
        <f t="shared" si="4"/>
        <v>C2</v>
      </c>
      <c r="S30" s="8">
        <f t="shared" si="13"/>
        <v>3817.0335340418483</v>
      </c>
      <c r="T30" s="8">
        <f t="shared" si="14"/>
        <v>6057.976248009998</v>
      </c>
      <c r="U30" s="9">
        <f t="shared" si="15"/>
        <v>8756.5740575732761</v>
      </c>
      <c r="V30" s="9" t="str">
        <f t="shared" si="6"/>
        <v>C1</v>
      </c>
    </row>
    <row r="31" spans="1:22" x14ac:dyDescent="0.35">
      <c r="A31" s="12">
        <v>16</v>
      </c>
      <c r="B31" s="12">
        <v>6051</v>
      </c>
      <c r="C31" s="12">
        <v>14</v>
      </c>
      <c r="E31" s="14"/>
      <c r="F31" s="14"/>
      <c r="G31" s="14"/>
      <c r="H31" s="14"/>
      <c r="I31" s="8">
        <f t="shared" si="7"/>
        <v>4451.0028083567868</v>
      </c>
      <c r="J31" s="8">
        <f t="shared" si="8"/>
        <v>423.09573384755367</v>
      </c>
      <c r="K31" s="8">
        <f t="shared" si="9"/>
        <v>3011.0014945197222</v>
      </c>
      <c r="L31" s="8" t="str">
        <f t="shared" si="5"/>
        <v>C2</v>
      </c>
      <c r="N31" s="8">
        <f t="shared" si="10"/>
        <v>6859.2990576661696</v>
      </c>
      <c r="O31" s="8">
        <f t="shared" si="11"/>
        <v>123.79963292524748</v>
      </c>
      <c r="P31" s="9">
        <f t="shared" si="12"/>
        <v>2042.0047404450363</v>
      </c>
      <c r="Q31" s="9" t="str">
        <f t="shared" si="4"/>
        <v>C2</v>
      </c>
      <c r="S31" s="8">
        <f t="shared" si="13"/>
        <v>6520.9945560474134</v>
      </c>
      <c r="T31" s="8">
        <f t="shared" si="14"/>
        <v>8040.6903448306784</v>
      </c>
      <c r="U31" s="9">
        <f t="shared" si="15"/>
        <v>10228.940034322486</v>
      </c>
      <c r="V31" s="9" t="str">
        <f t="shared" si="6"/>
        <v>C1</v>
      </c>
    </row>
    <row r="32" spans="1:22" x14ac:dyDescent="0.35">
      <c r="A32" s="12">
        <v>17</v>
      </c>
      <c r="B32" s="12">
        <v>7420</v>
      </c>
      <c r="C32" s="12">
        <v>2</v>
      </c>
      <c r="E32" s="14"/>
      <c r="F32" s="14"/>
      <c r="G32" s="14"/>
      <c r="H32" s="14"/>
      <c r="I32" s="8">
        <f t="shared" si="7"/>
        <v>4191.0058458560998</v>
      </c>
      <c r="J32" s="8">
        <f t="shared" si="8"/>
        <v>683.08857405171113</v>
      </c>
      <c r="K32" s="8">
        <f t="shared" si="9"/>
        <v>3271.0038214590945</v>
      </c>
      <c r="L32" s="8" t="str">
        <f t="shared" si="5"/>
        <v>C2</v>
      </c>
      <c r="N32" s="8">
        <f t="shared" si="10"/>
        <v>6619.5129399752668</v>
      </c>
      <c r="O32" s="8">
        <f t="shared" si="11"/>
        <v>383.75899272465443</v>
      </c>
      <c r="P32" s="9">
        <f t="shared" si="12"/>
        <v>2302.0088965944506</v>
      </c>
      <c r="Q32" s="9" t="str">
        <f t="shared" si="4"/>
        <v>C3</v>
      </c>
      <c r="S32" s="8">
        <f t="shared" si="13"/>
        <v>6268.2803064317413</v>
      </c>
      <c r="T32" s="8">
        <f t="shared" si="14"/>
        <v>7837.1339928224588</v>
      </c>
      <c r="U32" s="9">
        <f t="shared" si="15"/>
        <v>10069.716094595979</v>
      </c>
      <c r="V32" s="9" t="str">
        <f t="shared" si="6"/>
        <v>C1</v>
      </c>
    </row>
    <row r="33" spans="1:22" x14ac:dyDescent="0.35">
      <c r="A33" s="12">
        <v>18</v>
      </c>
      <c r="B33" s="12">
        <v>2184</v>
      </c>
      <c r="C33" s="12">
        <v>10</v>
      </c>
      <c r="E33" s="15"/>
      <c r="F33" s="15"/>
      <c r="G33" s="15"/>
      <c r="H33" s="15"/>
      <c r="I33" s="8">
        <f t="shared" si="7"/>
        <v>5560.0022482009845</v>
      </c>
      <c r="J33" s="8">
        <f t="shared" si="8"/>
        <v>686.00072886258658</v>
      </c>
      <c r="K33" s="8">
        <f t="shared" si="9"/>
        <v>1902.0128811340894</v>
      </c>
      <c r="L33" s="8" t="str">
        <f t="shared" si="5"/>
        <v>C1</v>
      </c>
      <c r="N33" s="8">
        <f t="shared" si="10"/>
        <v>7899.3231711647295</v>
      </c>
      <c r="O33" s="8">
        <f t="shared" si="11"/>
        <v>985.31960993771497</v>
      </c>
      <c r="P33" s="9">
        <f t="shared" si="12"/>
        <v>933.01680585078418</v>
      </c>
      <c r="Q33" s="9" t="str">
        <f t="shared" si="4"/>
        <v>C1</v>
      </c>
      <c r="S33" s="8">
        <f t="shared" si="13"/>
        <v>7607.4104003925013</v>
      </c>
      <c r="T33" s="8">
        <f t="shared" si="14"/>
        <v>8944.3850667026454</v>
      </c>
      <c r="U33" s="9">
        <f t="shared" si="15"/>
        <v>10953.562764040078</v>
      </c>
      <c r="V33" s="9" t="str">
        <f t="shared" si="6"/>
        <v>C1</v>
      </c>
    </row>
    <row r="34" spans="1:22" x14ac:dyDescent="0.35">
      <c r="A34" s="12">
        <v>19</v>
      </c>
      <c r="B34" s="12">
        <v>5555</v>
      </c>
      <c r="C34" s="12">
        <v>9</v>
      </c>
      <c r="E34" s="15"/>
      <c r="F34" s="16"/>
      <c r="G34" s="16"/>
      <c r="H34" s="17"/>
      <c r="I34" s="8">
        <f t="shared" si="7"/>
        <v>324.01388859121454</v>
      </c>
      <c r="J34" s="8">
        <f t="shared" si="8"/>
        <v>4550.0053846121982</v>
      </c>
      <c r="K34" s="8">
        <f t="shared" si="9"/>
        <v>7138.0000700476321</v>
      </c>
      <c r="L34" s="8" t="str">
        <f t="shared" si="5"/>
        <v>C2</v>
      </c>
      <c r="N34" s="8">
        <f t="shared" si="10"/>
        <v>3478.3413522108494</v>
      </c>
      <c r="O34" s="8">
        <f t="shared" si="11"/>
        <v>4250.6934777069164</v>
      </c>
      <c r="P34" s="9">
        <f t="shared" si="12"/>
        <v>6169.0004668503634</v>
      </c>
      <c r="Q34" s="9" t="str">
        <f t="shared" si="4"/>
        <v>C2</v>
      </c>
      <c r="S34" s="8">
        <f t="shared" si="13"/>
        <v>2751.7712477602495</v>
      </c>
      <c r="T34" s="8">
        <f t="shared" si="14"/>
        <v>5449.9152490156475</v>
      </c>
      <c r="U34" s="9">
        <f t="shared" si="15"/>
        <v>8347.4600463713086</v>
      </c>
      <c r="V34" s="9" t="str">
        <f t="shared" si="6"/>
        <v>C1</v>
      </c>
    </row>
    <row r="35" spans="1:22" x14ac:dyDescent="0.35">
      <c r="A35" s="12">
        <v>20</v>
      </c>
      <c r="B35" s="12">
        <v>4385</v>
      </c>
      <c r="C35" s="12">
        <v>10</v>
      </c>
      <c r="E35" s="15"/>
      <c r="F35" s="16"/>
      <c r="G35" s="16"/>
      <c r="H35" s="17"/>
      <c r="I35" s="8">
        <f t="shared" si="7"/>
        <v>3695.0005412719497</v>
      </c>
      <c r="J35" s="8">
        <f t="shared" si="8"/>
        <v>1179.0152670767245</v>
      </c>
      <c r="K35" s="8">
        <f t="shared" si="9"/>
        <v>3767</v>
      </c>
      <c r="L35" s="8" t="str">
        <f t="shared" si="5"/>
        <v>C2</v>
      </c>
      <c r="N35" s="8">
        <f t="shared" si="10"/>
        <v>6175.0059564748599</v>
      </c>
      <c r="O35" s="8">
        <f t="shared" si="11"/>
        <v>879.69494443600854</v>
      </c>
      <c r="P35" s="9">
        <f t="shared" si="12"/>
        <v>2798.0003502501568</v>
      </c>
      <c r="Q35" s="9" t="str">
        <f t="shared" si="4"/>
        <v>C2</v>
      </c>
      <c r="S35" s="8">
        <f t="shared" si="13"/>
        <v>5796.9030524927703</v>
      </c>
      <c r="T35" s="8">
        <f t="shared" si="14"/>
        <v>7465.4816469838897</v>
      </c>
      <c r="U35" s="9">
        <f t="shared" si="15"/>
        <v>9783.2473762940954</v>
      </c>
      <c r="V35" s="9" t="str">
        <f t="shared" si="6"/>
        <v>C1</v>
      </c>
    </row>
    <row r="36" spans="1:22" x14ac:dyDescent="0.35">
      <c r="A36" s="12">
        <v>21</v>
      </c>
      <c r="B36" s="12">
        <v>7396</v>
      </c>
      <c r="C36" s="12">
        <v>5</v>
      </c>
      <c r="E36" s="15"/>
      <c r="F36" s="16"/>
      <c r="G36" s="16"/>
      <c r="H36" s="17"/>
      <c r="I36" s="8">
        <f t="shared" si="7"/>
        <v>2525.0017821775887</v>
      </c>
      <c r="J36" s="8">
        <f t="shared" si="8"/>
        <v>2349.0104299470449</v>
      </c>
      <c r="K36" s="8">
        <f t="shared" si="9"/>
        <v>4937.0001012760777</v>
      </c>
      <c r="L36" s="8" t="str">
        <f t="shared" si="5"/>
        <v>C2</v>
      </c>
      <c r="N36" s="8">
        <f t="shared" si="10"/>
        <v>5149.0977425661677</v>
      </c>
      <c r="O36" s="8">
        <f t="shared" si="11"/>
        <v>2049.6947340905622</v>
      </c>
      <c r="P36" s="9">
        <f t="shared" si="12"/>
        <v>3968.0007258063852</v>
      </c>
      <c r="Q36" s="9" t="str">
        <f t="shared" si="4"/>
        <v>C3</v>
      </c>
      <c r="S36" s="8">
        <f t="shared" si="13"/>
        <v>4688.9864576473237</v>
      </c>
      <c r="T36" s="8">
        <f t="shared" si="14"/>
        <v>6641.982025077552</v>
      </c>
      <c r="U36" s="9">
        <f t="shared" si="15"/>
        <v>9170.3019702605925</v>
      </c>
      <c r="V36" s="9" t="str">
        <f t="shared" si="6"/>
        <v>C1</v>
      </c>
    </row>
    <row r="37" spans="1:22" x14ac:dyDescent="0.35">
      <c r="A37" s="12">
        <v>22</v>
      </c>
      <c r="B37" s="12">
        <v>9666</v>
      </c>
      <c r="C37" s="12">
        <v>2</v>
      </c>
      <c r="E37" s="14"/>
      <c r="F37" s="14"/>
      <c r="G37" s="14"/>
      <c r="H37" s="14"/>
      <c r="I37" s="8">
        <f t="shared" si="7"/>
        <v>5536.0003612716646</v>
      </c>
      <c r="J37" s="8">
        <f t="shared" si="8"/>
        <v>662.00302114114254</v>
      </c>
      <c r="K37" s="8">
        <f t="shared" si="9"/>
        <v>1926.0041536819176</v>
      </c>
      <c r="L37" s="8" t="str">
        <f t="shared" si="5"/>
        <v>C3</v>
      </c>
      <c r="N37" s="8">
        <f t="shared" si="10"/>
        <v>7873.9738101228149</v>
      </c>
      <c r="O37" s="8">
        <f t="shared" si="11"/>
        <v>961.30946503920609</v>
      </c>
      <c r="P37" s="9">
        <f t="shared" si="12"/>
        <v>957.00353186391112</v>
      </c>
      <c r="Q37" s="9" t="str">
        <f t="shared" si="4"/>
        <v>C3</v>
      </c>
      <c r="S37" s="8">
        <f t="shared" si="13"/>
        <v>7581.0850146928178</v>
      </c>
      <c r="T37" s="8">
        <f t="shared" si="14"/>
        <v>8922.0054484097509</v>
      </c>
      <c r="U37" s="9">
        <f t="shared" si="15"/>
        <v>10935.29579964645</v>
      </c>
      <c r="V37" s="9" t="str">
        <f t="shared" si="6"/>
        <v>C1</v>
      </c>
    </row>
    <row r="38" spans="1:22" x14ac:dyDescent="0.35">
      <c r="A38" s="12">
        <v>23</v>
      </c>
      <c r="B38" s="12">
        <v>3558</v>
      </c>
      <c r="C38" s="12">
        <v>4</v>
      </c>
      <c r="E38" s="14"/>
      <c r="F38" s="14"/>
      <c r="G38" s="14"/>
      <c r="H38" s="14"/>
      <c r="I38" s="8">
        <f t="shared" si="7"/>
        <v>7806.0016013321447</v>
      </c>
      <c r="J38" s="8">
        <f t="shared" si="8"/>
        <v>2932.0001705320551</v>
      </c>
      <c r="K38" s="8">
        <f t="shared" si="9"/>
        <v>344.07121355905377</v>
      </c>
      <c r="L38" s="8" t="str">
        <f t="shared" si="5"/>
        <v>C1</v>
      </c>
      <c r="N38" s="8">
        <f t="shared" si="10"/>
        <v>10038.200962448402</v>
      </c>
      <c r="O38" s="8">
        <f t="shared" si="11"/>
        <v>3231.3113263153655</v>
      </c>
      <c r="P38" s="9">
        <f t="shared" si="12"/>
        <v>1313.0119420629808</v>
      </c>
      <c r="Q38" s="9" t="str">
        <f t="shared" si="4"/>
        <v>C2</v>
      </c>
      <c r="S38" s="8">
        <f t="shared" si="13"/>
        <v>9810.1409266126248</v>
      </c>
      <c r="T38" s="8">
        <f t="shared" si="14"/>
        <v>10879.714896147476</v>
      </c>
      <c r="U38" s="9">
        <f t="shared" si="15"/>
        <v>12583.588884963037</v>
      </c>
      <c r="V38" s="9" t="str">
        <f t="shared" si="6"/>
        <v>C1</v>
      </c>
    </row>
    <row r="39" spans="1:22" x14ac:dyDescent="0.35">
      <c r="A39" s="12">
        <v>24</v>
      </c>
      <c r="B39" s="12">
        <v>8849</v>
      </c>
      <c r="C39" s="12">
        <v>12</v>
      </c>
      <c r="E39" s="14"/>
      <c r="F39" s="14"/>
      <c r="G39" s="14"/>
      <c r="H39" s="14"/>
      <c r="I39" s="8">
        <f t="shared" si="7"/>
        <v>1698.0026501746104</v>
      </c>
      <c r="J39" s="8">
        <f t="shared" si="8"/>
        <v>3176.0001574307266</v>
      </c>
      <c r="K39" s="8">
        <f t="shared" si="9"/>
        <v>5764.0021686324862</v>
      </c>
      <c r="L39" s="8" t="str">
        <f t="shared" si="5"/>
        <v>C3</v>
      </c>
      <c r="N39" s="8">
        <f t="shared" si="10"/>
        <v>4472.5270890739166</v>
      </c>
      <c r="O39" s="8">
        <f t="shared" si="11"/>
        <v>2876.693715661751</v>
      </c>
      <c r="P39" s="9">
        <f t="shared" si="12"/>
        <v>4795.0013514075263</v>
      </c>
      <c r="Q39" s="9" t="str">
        <f t="shared" si="4"/>
        <v>C3</v>
      </c>
      <c r="S39" s="8">
        <f t="shared" si="13"/>
        <v>3934.0672337925289</v>
      </c>
      <c r="T39" s="8">
        <f t="shared" si="14"/>
        <v>6132.3907427245122</v>
      </c>
      <c r="U39" s="9">
        <f t="shared" si="15"/>
        <v>8808.2194128986885</v>
      </c>
      <c r="V39" s="9" t="str">
        <f t="shared" si="6"/>
        <v>C1</v>
      </c>
    </row>
    <row r="40" spans="1:22" x14ac:dyDescent="0.35">
      <c r="A40" s="12">
        <v>25</v>
      </c>
      <c r="B40" s="12">
        <v>3047</v>
      </c>
      <c r="C40" s="12">
        <v>12</v>
      </c>
      <c r="E40" s="14"/>
      <c r="F40" s="14"/>
      <c r="G40" s="14"/>
      <c r="H40" s="14"/>
      <c r="I40" s="8">
        <f t="shared" si="7"/>
        <v>6989.0017885245961</v>
      </c>
      <c r="J40" s="8">
        <f t="shared" si="8"/>
        <v>2115.0191488494852</v>
      </c>
      <c r="K40" s="8">
        <f t="shared" si="9"/>
        <v>473.00951364639593</v>
      </c>
      <c r="L40" s="8" t="str">
        <f t="shared" si="5"/>
        <v>C1</v>
      </c>
      <c r="N40" s="8">
        <f t="shared" si="10"/>
        <v>9244.736424717581</v>
      </c>
      <c r="O40" s="8">
        <f t="shared" si="11"/>
        <v>2414.3131932842252</v>
      </c>
      <c r="P40" s="9">
        <f t="shared" si="12"/>
        <v>496.01951574509644</v>
      </c>
      <c r="Q40" s="9" t="str">
        <f t="shared" si="4"/>
        <v>C2</v>
      </c>
      <c r="S40" s="8">
        <f t="shared" si="13"/>
        <v>8996.5847964658242</v>
      </c>
      <c r="T40" s="8">
        <f t="shared" si="14"/>
        <v>10152.234691015239</v>
      </c>
      <c r="U40" s="9">
        <f t="shared" si="15"/>
        <v>11960.199924155335</v>
      </c>
      <c r="V40" s="9" t="str">
        <f t="shared" si="6"/>
        <v>C1</v>
      </c>
    </row>
    <row r="41" spans="1:22" x14ac:dyDescent="0.35">
      <c r="A41" s="12">
        <v>26</v>
      </c>
      <c r="B41" s="12">
        <v>3747</v>
      </c>
      <c r="C41" s="12">
        <v>7</v>
      </c>
      <c r="E41" s="14"/>
      <c r="F41" s="14"/>
      <c r="G41" s="14"/>
      <c r="H41" s="14"/>
      <c r="I41" s="8">
        <f t="shared" si="7"/>
        <v>1187.0105307030767</v>
      </c>
      <c r="J41" s="8">
        <f t="shared" si="8"/>
        <v>3687.010984523914</v>
      </c>
      <c r="K41" s="8">
        <f t="shared" si="9"/>
        <v>6275.0007171314328</v>
      </c>
      <c r="L41" s="8" t="str">
        <f t="shared" si="5"/>
        <v>C1</v>
      </c>
      <c r="N41" s="8">
        <f t="shared" si="10"/>
        <v>4072.3221339304678</v>
      </c>
      <c r="O41" s="8">
        <f t="shared" si="11"/>
        <v>3387.6962280770999</v>
      </c>
      <c r="P41" s="9">
        <f t="shared" si="12"/>
        <v>5306.0018243494787</v>
      </c>
      <c r="Q41" s="9" t="str">
        <f t="shared" si="4"/>
        <v>C2</v>
      </c>
      <c r="S41" s="8">
        <f t="shared" si="13"/>
        <v>3472.3470448674911</v>
      </c>
      <c r="T41" s="8">
        <f t="shared" si="14"/>
        <v>5846.924424127038</v>
      </c>
      <c r="U41" s="9">
        <f t="shared" si="15"/>
        <v>8611.9125765282424</v>
      </c>
      <c r="V41" s="9" t="str">
        <f t="shared" si="6"/>
        <v>C1</v>
      </c>
    </row>
    <row r="42" spans="1:22" x14ac:dyDescent="0.35">
      <c r="A42" s="12">
        <v>27</v>
      </c>
      <c r="B42" s="12">
        <v>1189</v>
      </c>
      <c r="C42" s="12">
        <v>12</v>
      </c>
      <c r="E42" s="14"/>
      <c r="F42" s="14"/>
      <c r="G42" s="14"/>
      <c r="H42" s="14"/>
      <c r="I42" s="8">
        <f t="shared" si="7"/>
        <v>1887</v>
      </c>
      <c r="J42" s="8">
        <f t="shared" si="8"/>
        <v>2987.0026782713135</v>
      </c>
      <c r="K42" s="8">
        <f t="shared" si="9"/>
        <v>5575.0003587443834</v>
      </c>
      <c r="L42" s="8" t="str">
        <f t="shared" si="5"/>
        <v>C1</v>
      </c>
      <c r="N42" s="8">
        <f t="shared" si="10"/>
        <v>4621.7077539043939</v>
      </c>
      <c r="O42" s="8">
        <f t="shared" si="11"/>
        <v>2687.6923120954602</v>
      </c>
      <c r="P42" s="9">
        <f t="shared" si="12"/>
        <v>4606.0000390794612</v>
      </c>
      <c r="Q42" s="9" t="str">
        <f t="shared" si="4"/>
        <v>C1</v>
      </c>
      <c r="S42" s="8">
        <f t="shared" si="13"/>
        <v>4102.87326150833</v>
      </c>
      <c r="T42" s="8">
        <f t="shared" si="14"/>
        <v>6242.0269321313644</v>
      </c>
      <c r="U42" s="9">
        <f t="shared" si="15"/>
        <v>8884.8980425081591</v>
      </c>
      <c r="V42" s="9" t="str">
        <f t="shared" si="6"/>
        <v>C1</v>
      </c>
    </row>
    <row r="43" spans="1:22" x14ac:dyDescent="0.35">
      <c r="A43" s="12">
        <v>28</v>
      </c>
      <c r="B43" s="12">
        <v>3734</v>
      </c>
      <c r="C43" s="12">
        <v>13</v>
      </c>
      <c r="E43" s="14"/>
      <c r="F43" s="14"/>
      <c r="G43" s="14"/>
      <c r="H43" s="14"/>
      <c r="I43" s="8">
        <f t="shared" si="7"/>
        <v>671.01862865348232</v>
      </c>
      <c r="J43" s="8">
        <f t="shared" si="8"/>
        <v>5545.0073038725568</v>
      </c>
      <c r="K43" s="8">
        <f t="shared" si="9"/>
        <v>8133.0005533013464</v>
      </c>
      <c r="L43" s="8" t="str">
        <f t="shared" si="5"/>
        <v>C1</v>
      </c>
      <c r="N43" s="8">
        <f t="shared" si="10"/>
        <v>2959.3768875389969</v>
      </c>
      <c r="O43" s="8">
        <f t="shared" si="11"/>
        <v>5245.6948394957581</v>
      </c>
      <c r="P43" s="9">
        <f t="shared" si="12"/>
        <v>7164.0013512003188</v>
      </c>
      <c r="Q43" s="9" t="str">
        <f t="shared" si="4"/>
        <v>C2</v>
      </c>
      <c r="S43" s="8">
        <f t="shared" si="13"/>
        <v>2057.0119105148615</v>
      </c>
      <c r="T43" s="8">
        <f t="shared" si="14"/>
        <v>5134.260338301252</v>
      </c>
      <c r="U43" s="9">
        <f t="shared" si="15"/>
        <v>8144.8844206511185</v>
      </c>
      <c r="V43" s="9" t="str">
        <f t="shared" si="6"/>
        <v>C1</v>
      </c>
    </row>
    <row r="44" spans="1:22" x14ac:dyDescent="0.35">
      <c r="A44" s="12">
        <v>29</v>
      </c>
      <c r="B44" s="12">
        <v>4005</v>
      </c>
      <c r="C44" s="12">
        <v>8</v>
      </c>
      <c r="E44" s="14"/>
      <c r="F44" s="14"/>
      <c r="G44" s="14"/>
      <c r="H44" s="14"/>
      <c r="I44" s="8">
        <f t="shared" si="7"/>
        <v>1874.0096050981169</v>
      </c>
      <c r="J44" s="8">
        <f t="shared" si="8"/>
        <v>3000.0166666203704</v>
      </c>
      <c r="K44" s="8">
        <f t="shared" si="9"/>
        <v>5588.0014316390434</v>
      </c>
      <c r="L44" s="8" t="str">
        <f t="shared" si="5"/>
        <v>C1</v>
      </c>
      <c r="N44" s="8">
        <f t="shared" si="10"/>
        <v>4606.3460098542319</v>
      </c>
      <c r="O44" s="8">
        <f t="shared" si="11"/>
        <v>2700.6993188155707</v>
      </c>
      <c r="P44" s="9">
        <f t="shared" si="12"/>
        <v>4619.003156526308</v>
      </c>
      <c r="Q44" s="9" t="str">
        <f t="shared" si="4"/>
        <v>C2</v>
      </c>
      <c r="S44" s="8">
        <f t="shared" si="13"/>
        <v>4085.5611609667526</v>
      </c>
      <c r="T44" s="8">
        <f t="shared" si="14"/>
        <v>6230.6613791357086</v>
      </c>
      <c r="U44" s="9">
        <f t="shared" si="15"/>
        <v>8876.9169324583236</v>
      </c>
      <c r="V44" s="9" t="str">
        <f t="shared" si="6"/>
        <v>C1</v>
      </c>
    </row>
    <row r="45" spans="1:22" x14ac:dyDescent="0.35">
      <c r="A45" s="12">
        <v>30</v>
      </c>
      <c r="B45" s="12">
        <v>5658</v>
      </c>
      <c r="C45" s="12">
        <v>3</v>
      </c>
      <c r="E45" s="14"/>
      <c r="F45" s="14"/>
      <c r="G45" s="14"/>
      <c r="H45" s="14"/>
      <c r="I45" s="8">
        <f t="shared" si="7"/>
        <v>2145.0002331002206</v>
      </c>
      <c r="J45" s="8">
        <f t="shared" si="8"/>
        <v>2729.0045804285487</v>
      </c>
      <c r="K45" s="8">
        <f t="shared" si="9"/>
        <v>5317.0000940379905</v>
      </c>
      <c r="L45" s="8" t="str">
        <f t="shared" si="5"/>
        <v>C3</v>
      </c>
      <c r="N45" s="8">
        <f t="shared" si="10"/>
        <v>4832.0380340494012</v>
      </c>
      <c r="O45" s="8">
        <f t="shared" si="11"/>
        <v>2429.6925816695652</v>
      </c>
      <c r="P45" s="9">
        <f t="shared" si="12"/>
        <v>4348.0000183992643</v>
      </c>
      <c r="Q45" s="9" t="str">
        <f t="shared" si="4"/>
        <v>C3</v>
      </c>
      <c r="S45" s="8">
        <f t="shared" si="13"/>
        <v>4338.4303613173279</v>
      </c>
      <c r="T45" s="8">
        <f t="shared" si="14"/>
        <v>6399.3209969068821</v>
      </c>
      <c r="U45" s="9">
        <f t="shared" si="15"/>
        <v>8996.1003899337011</v>
      </c>
      <c r="V45" s="9" t="str">
        <f t="shared" si="6"/>
        <v>C3</v>
      </c>
    </row>
    <row r="48" spans="1:22" x14ac:dyDescent="0.35">
      <c r="A48" s="15"/>
      <c r="B48" s="15"/>
      <c r="C48" s="15"/>
      <c r="D48" s="15"/>
    </row>
    <row r="49" spans="1:4" x14ac:dyDescent="0.35">
      <c r="A49" s="17"/>
      <c r="B49" s="17"/>
      <c r="C49" s="17"/>
      <c r="D49" s="17"/>
    </row>
    <row r="50" spans="1:4" x14ac:dyDescent="0.35">
      <c r="A50" s="17"/>
      <c r="B50" s="17"/>
      <c r="C50" s="17"/>
      <c r="D50" s="17"/>
    </row>
    <row r="51" spans="1:4" x14ac:dyDescent="0.35">
      <c r="A51" s="17"/>
      <c r="B51" s="17"/>
      <c r="C51" s="17"/>
      <c r="D51" s="17"/>
    </row>
  </sheetData>
  <mergeCells count="5">
    <mergeCell ref="S15:U15"/>
    <mergeCell ref="H1:I1"/>
    <mergeCell ref="M1:N1"/>
    <mergeCell ref="I15:K15"/>
    <mergeCell ref="N15:P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Fahrozi Aldinata</dc:creator>
  <cp:lastModifiedBy>Fahrozi Aldinata</cp:lastModifiedBy>
  <dcterms:created xsi:type="dcterms:W3CDTF">2025-10-13T01:47:55Z</dcterms:created>
  <dcterms:modified xsi:type="dcterms:W3CDTF">2025-10-13T04:14:15Z</dcterms:modified>
</cp:coreProperties>
</file>