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uliah\Semester 7\Data Mining\Tugas\"/>
    </mc:Choice>
  </mc:AlternateContent>
  <xr:revisionPtr revIDLastSave="0" documentId="13_ncr:1_{41403B1D-DD03-4AB5-9433-58CC58411824}" xr6:coauthVersionLast="47" xr6:coauthVersionMax="47" xr10:uidLastSave="{00000000-0000-0000-0000-000000000000}"/>
  <bookViews>
    <workbookView xWindow="-110" yWindow="-110" windowWidth="19420" windowHeight="11020" activeTab="1" xr2:uid="{938456B7-D342-4F9D-B299-BE9C90829E09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2" l="1"/>
  <c r="H5" i="2"/>
  <c r="N7" i="2"/>
  <c r="O3" i="2"/>
  <c r="H6" i="2"/>
  <c r="H1" i="2"/>
  <c r="H3" i="2"/>
  <c r="O7" i="2" s="1"/>
  <c r="H2" i="2"/>
  <c r="N3" i="2" s="1"/>
  <c r="N12" i="1"/>
  <c r="O10" i="1"/>
  <c r="N10" i="1"/>
  <c r="O8" i="1"/>
  <c r="N8" i="1"/>
  <c r="P3" i="1"/>
  <c r="P6" i="1"/>
  <c r="P5" i="1"/>
  <c r="P4" i="1"/>
  <c r="O6" i="1"/>
  <c r="O5" i="1"/>
  <c r="O4" i="1"/>
  <c r="L13" i="1"/>
  <c r="O3" i="1"/>
  <c r="L4" i="1"/>
  <c r="L24" i="1"/>
  <c r="L26" i="1"/>
  <c r="L25" i="1"/>
  <c r="L23" i="1"/>
  <c r="L16" i="1"/>
  <c r="L17" i="1"/>
  <c r="L18" i="1"/>
  <c r="L19" i="1"/>
  <c r="L20" i="1"/>
  <c r="L21" i="1"/>
  <c r="L14" i="1"/>
  <c r="L12" i="1"/>
  <c r="L11" i="1"/>
  <c r="L9" i="1"/>
  <c r="L8" i="1"/>
  <c r="L7" i="1"/>
  <c r="L6" i="1"/>
  <c r="L5" i="1"/>
  <c r="H3" i="1"/>
  <c r="H4" i="1"/>
  <c r="H2" i="1"/>
  <c r="H7" i="1"/>
  <c r="H6" i="1"/>
  <c r="O10" i="2" l="1"/>
  <c r="J13" i="2" s="1"/>
  <c r="O8" i="2"/>
  <c r="O2" i="2"/>
  <c r="J10" i="2" s="1"/>
  <c r="O11" i="2"/>
  <c r="O5" i="2"/>
  <c r="J11" i="2" s="1"/>
  <c r="O6" i="2"/>
  <c r="O4" i="2"/>
  <c r="N8" i="2"/>
  <c r="N9" i="2"/>
  <c r="I12" i="2" s="1"/>
  <c r="O9" i="2"/>
  <c r="J12" i="2" s="1"/>
  <c r="N10" i="2"/>
  <c r="I13" i="2" s="1"/>
  <c r="N2" i="2"/>
  <c r="I10" i="2" s="1"/>
  <c r="N11" i="2"/>
  <c r="N5" i="2"/>
  <c r="I11" i="2" s="1"/>
  <c r="N6" i="2"/>
  <c r="I14" i="2" l="1"/>
  <c r="J14" i="2"/>
  <c r="J15" i="2" l="1"/>
  <c r="J16" i="2" s="1"/>
  <c r="I15" i="2"/>
  <c r="H17" i="2" s="1"/>
  <c r="I16" i="2" l="1"/>
</calcChain>
</file>

<file path=xl/sharedStrings.xml><?xml version="1.0" encoding="utf-8"?>
<sst xmlns="http://schemas.openxmlformats.org/spreadsheetml/2006/main" count="491" uniqueCount="66">
  <si>
    <t>Umur</t>
  </si>
  <si>
    <t>Status</t>
  </si>
  <si>
    <t>Penghasilan</t>
  </si>
  <si>
    <t>Hutang Konsumtif</t>
  </si>
  <si>
    <t>Investasi</t>
  </si>
  <si>
    <t>Muda</t>
  </si>
  <si>
    <t>Lajang</t>
  </si>
  <si>
    <t>Sedang</t>
  </si>
  <si>
    <t>Ya</t>
  </si>
  <si>
    <t>Tidak</t>
  </si>
  <si>
    <t>Rendah</t>
  </si>
  <si>
    <t>Menikah</t>
  </si>
  <si>
    <t>Paruh Baya</t>
  </si>
  <si>
    <t>Tinggi</t>
  </si>
  <si>
    <t>Tua</t>
  </si>
  <si>
    <t>Total Data</t>
  </si>
  <si>
    <t>Total Ya</t>
  </si>
  <si>
    <t>Total Tidak</t>
  </si>
  <si>
    <r>
      <t xml:space="preserve">Hitung </t>
    </r>
    <r>
      <rPr>
        <b/>
        <sz val="11"/>
        <color theme="1"/>
        <rFont val="Calibri"/>
        <family val="2"/>
        <scheme val="minor"/>
      </rPr>
      <t>Probabilitas Prior</t>
    </r>
  </si>
  <si>
    <t>P(YA)</t>
  </si>
  <si>
    <t>P(TIDAK)</t>
  </si>
  <si>
    <r>
      <t xml:space="preserve">Hitung </t>
    </r>
    <r>
      <rPr>
        <b/>
        <sz val="11"/>
        <color theme="1"/>
        <rFont val="Calibri"/>
        <family val="2"/>
        <scheme val="minor"/>
      </rPr>
      <t>Likelihood untuk tiap atribut</t>
    </r>
  </si>
  <si>
    <t>Kelas</t>
  </si>
  <si>
    <t>Nilai</t>
  </si>
  <si>
    <t>Atribut</t>
  </si>
  <si>
    <t>P(X|Ya)</t>
  </si>
  <si>
    <t>P(X|Tidak)</t>
  </si>
  <si>
    <t>Hitung P(Ya|X) dan P(Tidak|X)</t>
  </si>
  <si>
    <t>Normalisasi</t>
  </si>
  <si>
    <t>Prediksi</t>
  </si>
  <si>
    <t xml:space="preserve"> Data Testing:Paruh Baya Menikah Sedang Ya</t>
  </si>
  <si>
    <t>(Key)</t>
  </si>
  <si>
    <t>Tabel Prediksi</t>
  </si>
  <si>
    <t>Key</t>
  </si>
  <si>
    <t>Hitung P(Ya|X)</t>
  </si>
  <si>
    <t>P(Tidak|X)</t>
  </si>
  <si>
    <t>Hitung PX</t>
  </si>
  <si>
    <t>Keterangan</t>
  </si>
  <si>
    <t xml:space="preserve">Cara gunakannya cukup input di kolom </t>
  </si>
  <si>
    <t>nilai tabel prediksi dari data testing</t>
  </si>
  <si>
    <t>data testing yang  ada tanda tanya input saja</t>
  </si>
  <si>
    <t>Tekan tombol simpan untuk simpan hasil</t>
  </si>
  <si>
    <t>Tidak (75.02%)</t>
  </si>
  <si>
    <t>Tidak (77.63%)</t>
  </si>
  <si>
    <t>Ya (56.45%)</t>
  </si>
  <si>
    <t>Ya (53.82%)</t>
  </si>
  <si>
    <t>Ya (83.98%)</t>
  </si>
  <si>
    <t>Ya (81.94%)</t>
  </si>
  <si>
    <t>Ya (74.39%)</t>
  </si>
  <si>
    <t>Tidak (50.03%)</t>
  </si>
  <si>
    <t>Tidak (53.64%)</t>
  </si>
  <si>
    <t>Tidak (89.05%)</t>
  </si>
  <si>
    <t>Ya (77.76%)</t>
  </si>
  <si>
    <t>Ya (65.94%)</t>
  </si>
  <si>
    <t>Tidak (76.49%)</t>
  </si>
  <si>
    <t>Ya (58.03%)</t>
  </si>
  <si>
    <t>Tidak (83.56%)</t>
  </si>
  <si>
    <t>Ya (84.83%)</t>
  </si>
  <si>
    <t>Ya (75.60%)</t>
  </si>
  <si>
    <t>Persen</t>
  </si>
  <si>
    <t>Hitung PX Tidak</t>
  </si>
  <si>
    <t>Normalisasi Ya</t>
  </si>
  <si>
    <t>Normalisasi Tidak</t>
  </si>
  <si>
    <t>Hitung PX Ya</t>
  </si>
  <si>
    <t>Persen Ya</t>
  </si>
  <si>
    <t>Persen Tidak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</si>
</sst>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B1C1D"/>
      <name val="Arial"/>
      <family val="2"/>
    </font>
    <font>
      <b/>
      <sz val="11"/>
      <color rgb="FF1B1C1D"/>
      <name val="Arial"/>
      <family val="2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3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2" xfId="0" applyBorder="1"/>
    <xf numFmtId="0" fontId="2" fillId="0" borderId="2" xfId="0" applyFont="1" applyBorder="1" applyAlignment="1">
      <alignment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/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4" xfId="0" applyBorder="1"/>
    <xf numFmtId="0" fontId="3" fillId="0" borderId="2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2" fillId="0" borderId="0" xfId="0" applyFont="1" applyAlignment="1">
      <alignment horizontal="center" vertical="center" wrapText="1" readingOrder="1"/>
    </xf>
    <xf numFmtId="0" fontId="2" fillId="0" borderId="0" xfId="0" applyFont="1" applyAlignment="1">
      <alignment horizontal="center" vertic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wrapText="1" readingOrder="1"/>
    </xf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center" wrapText="1" readingOrder="1"/>
    </xf>
    <xf numFmtId="0" fontId="2" fillId="0" borderId="0" xfId="0" applyFont="1" applyBorder="1" applyAlignment="1">
      <alignment horizontal="center" vertical="center" wrapText="1" readingOrder="1"/>
    </xf>
    <xf numFmtId="0" fontId="2" fillId="0" borderId="2" xfId="0" applyFont="1" applyFill="1" applyBorder="1" applyAlignment="1">
      <alignment horizontal="center" vertical="center" wrapText="1" readingOrder="1"/>
    </xf>
    <xf numFmtId="0" fontId="0" fillId="0" borderId="2" xfId="0" applyBorder="1" applyAlignment="1">
      <alignment horizontal="center"/>
    </xf>
    <xf numFmtId="10" fontId="0" fillId="0" borderId="0" xfId="0" applyNumberFormat="1"/>
    <xf numFmtId="0" fontId="3" fillId="0" borderId="2" xfId="0" applyFont="1" applyFill="1" applyBorder="1" applyAlignment="1">
      <alignment horizontal="center" vertical="center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300430</xdr:colOff>
      <xdr:row>14</xdr:row>
      <xdr:rowOff>54624</xdr:rowOff>
    </xdr:from>
    <xdr:to>
      <xdr:col>10</xdr:col>
      <xdr:colOff>914946</xdr:colOff>
      <xdr:row>15</xdr:row>
      <xdr:rowOff>150215</xdr:rowOff>
    </xdr:to>
    <xdr:sp macro="[0]!SimpanDataPrediksi" textlink="">
      <xdr:nvSpPr>
        <xdr:cNvPr id="2" name="Rectangle 1">
          <a:extLst>
            <a:ext uri="{FF2B5EF4-FFF2-40B4-BE49-F238E27FC236}">
              <a16:creationId xmlns:a16="http://schemas.microsoft.com/office/drawing/2014/main" id="{8B50D808-06C5-CAFB-8D52-D815BD23576A}"/>
            </a:ext>
          </a:extLst>
        </xdr:cNvPr>
        <xdr:cNvSpPr/>
      </xdr:nvSpPr>
      <xdr:spPr>
        <a:xfrm>
          <a:off x="8992419" y="3953387"/>
          <a:ext cx="614516" cy="286774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Simpan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264037</xdr:colOff>
          <xdr:row>14</xdr:row>
          <xdr:rowOff>80023</xdr:rowOff>
        </xdr:from>
        <xdr:to>
          <xdr:col>11</xdr:col>
          <xdr:colOff>795730</xdr:colOff>
          <xdr:row>15</xdr:row>
          <xdr:rowOff>111773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1B014C6-CCEF-045C-5791-B07039F4D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Prediksi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5715-4606-4BF8-8103-B7B529B4E30D}">
  <sheetPr codeName="Sheet1"/>
  <dimension ref="A1:P26"/>
  <sheetViews>
    <sheetView workbookViewId="0">
      <selection activeCell="O10" sqref="O10"/>
    </sheetView>
  </sheetViews>
  <sheetFormatPr defaultRowHeight="14.5" x14ac:dyDescent="0.35"/>
  <cols>
    <col min="1" max="1" width="9.90625" customWidth="1"/>
    <col min="2" max="2" width="12.54296875" customWidth="1"/>
    <col min="3" max="3" width="16.453125" customWidth="1"/>
    <col min="4" max="4" width="14.1796875" customWidth="1"/>
    <col min="5" max="5" width="11.08984375" customWidth="1"/>
    <col min="7" max="7" width="11.90625" customWidth="1"/>
    <col min="10" max="10" width="13.1796875" customWidth="1"/>
    <col min="13" max="13" width="12.1796875" customWidth="1"/>
    <col min="14" max="14" width="15.90625" customWidth="1"/>
  </cols>
  <sheetData>
    <row r="1" spans="1:16" ht="28.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J1" t="s">
        <v>21</v>
      </c>
      <c r="N1" t="s">
        <v>30</v>
      </c>
    </row>
    <row r="2" spans="1:16" ht="15" thickBot="1" x14ac:dyDescent="0.4">
      <c r="A2" s="2" t="s">
        <v>5</v>
      </c>
      <c r="B2" s="2" t="s">
        <v>6</v>
      </c>
      <c r="C2" s="2" t="s">
        <v>7</v>
      </c>
      <c r="D2" s="2" t="s">
        <v>8</v>
      </c>
      <c r="E2" s="2" t="s">
        <v>9</v>
      </c>
      <c r="G2" s="4" t="s">
        <v>15</v>
      </c>
      <c r="H2" s="3">
        <f>COUNTA(A$2:A$20)</f>
        <v>19</v>
      </c>
      <c r="J2" s="3" t="s">
        <v>24</v>
      </c>
      <c r="K2" s="3" t="s">
        <v>22</v>
      </c>
      <c r="L2" s="3" t="s">
        <v>23</v>
      </c>
      <c r="N2" s="3" t="s">
        <v>24</v>
      </c>
      <c r="O2" s="3" t="s">
        <v>25</v>
      </c>
      <c r="P2" s="3" t="s">
        <v>26</v>
      </c>
    </row>
    <row r="3" spans="1:16" ht="15" thickBot="1" x14ac:dyDescent="0.4">
      <c r="A3" s="2" t="s">
        <v>5</v>
      </c>
      <c r="B3" s="2" t="s">
        <v>6</v>
      </c>
      <c r="C3" s="2" t="s">
        <v>10</v>
      </c>
      <c r="D3" s="2" t="s">
        <v>8</v>
      </c>
      <c r="E3" s="2" t="s">
        <v>9</v>
      </c>
      <c r="G3" s="5" t="s">
        <v>16</v>
      </c>
      <c r="H3" s="3">
        <f>COUNTIF(E2:E20,"Ya")</f>
        <v>10</v>
      </c>
      <c r="J3" s="11" t="s">
        <v>0</v>
      </c>
      <c r="K3" s="3"/>
      <c r="L3" s="3"/>
      <c r="N3" s="3" t="s">
        <v>0</v>
      </c>
      <c r="O3" s="3">
        <f>COUNTIFS($A$2:$A$20,"Paruh Baya",$E$2:$E$20,"Ya")/COUNTIF($E$2:$E$20,"Ya")</f>
        <v>0.5</v>
      </c>
      <c r="P3" s="3">
        <f>COUNTIFS($A$2:$A$20,"Paruh Baya",$E$2:$E$20,"Tidak")/COUNTIF($E$2:$E$20,"Tidak")</f>
        <v>0.22222222222222221</v>
      </c>
    </row>
    <row r="4" spans="1:16" ht="15" thickBot="1" x14ac:dyDescent="0.4">
      <c r="A4" s="2" t="s">
        <v>5</v>
      </c>
      <c r="B4" s="2" t="s">
        <v>6</v>
      </c>
      <c r="C4" s="2" t="s">
        <v>10</v>
      </c>
      <c r="D4" s="2" t="s">
        <v>9</v>
      </c>
      <c r="E4" s="2" t="s">
        <v>8</v>
      </c>
      <c r="G4" s="5" t="s">
        <v>17</v>
      </c>
      <c r="H4" s="3">
        <f>COUNTIF(E2:E20,"Tidak")</f>
        <v>9</v>
      </c>
      <c r="J4" s="3" t="s">
        <v>12</v>
      </c>
      <c r="K4" s="3" t="s">
        <v>8</v>
      </c>
      <c r="L4" s="3">
        <f>COUNTIFS($A$2:$A$20,"Paruh Baya",$E$2:$E$20,"Ya")/COUNTIF($E$2:$E$20,"Ya")</f>
        <v>0.5</v>
      </c>
      <c r="N4" s="3" t="s">
        <v>1</v>
      </c>
      <c r="O4" s="3">
        <f>COUNTIFS($B$2:$B$20,"Menikah",$E$2:$E$20,"Ya")/COUNTIF($E$2:$E$20,"Ya")</f>
        <v>0.7</v>
      </c>
      <c r="P4" s="3">
        <f>COUNTIFS($B$2:$B$20,"Menikah",$E$2:$E$20,"Tidak")/COUNTIF($E$2:$E$20,"Tidak")</f>
        <v>0.33333333333333331</v>
      </c>
    </row>
    <row r="5" spans="1:16" ht="15" thickBot="1" x14ac:dyDescent="0.4">
      <c r="A5" s="2" t="s">
        <v>5</v>
      </c>
      <c r="B5" s="2" t="s">
        <v>11</v>
      </c>
      <c r="C5" s="2" t="s">
        <v>7</v>
      </c>
      <c r="D5" s="2" t="s">
        <v>8</v>
      </c>
      <c r="E5" s="2" t="s">
        <v>8</v>
      </c>
      <c r="G5" s="8" t="s">
        <v>18</v>
      </c>
      <c r="H5" s="8"/>
      <c r="I5" s="8"/>
      <c r="J5" s="3"/>
      <c r="K5" s="3" t="s">
        <v>9</v>
      </c>
      <c r="L5" s="3">
        <f>COUNTIFS(A2:A20,"Paruh Baya",E2:E20,"Tidak")/COUNTIF(E2:E20,"Tidak")</f>
        <v>0.22222222222222221</v>
      </c>
      <c r="N5" s="3" t="s">
        <v>2</v>
      </c>
      <c r="O5" s="3">
        <f>COUNTIFS($C$2:$C$20,"Rendah",$E$2:$E$20,"Ya")/COUNTIF($E$2:$E$20,"Ya")</f>
        <v>0.3</v>
      </c>
      <c r="P5" s="3">
        <f>COUNTIFS($C$2:$C$20,"Rendah",$E$2:$E$20,"Tidak")/COUNTIF($E$2:$E$20,"Tidak")</f>
        <v>0.44444444444444442</v>
      </c>
    </row>
    <row r="6" spans="1:16" ht="15" thickBot="1" x14ac:dyDescent="0.4">
      <c r="A6" s="2" t="s">
        <v>5</v>
      </c>
      <c r="B6" s="2" t="s">
        <v>11</v>
      </c>
      <c r="C6" s="2" t="s">
        <v>10</v>
      </c>
      <c r="D6" s="2" t="s">
        <v>8</v>
      </c>
      <c r="E6" s="2" t="s">
        <v>9</v>
      </c>
      <c r="G6" s="6" t="s">
        <v>19</v>
      </c>
      <c r="H6" s="6">
        <f>COUNTIF(E2:E19,"Ya")/COUNTA(E2:E19)</f>
        <v>0.55555555555555558</v>
      </c>
      <c r="I6" s="8"/>
      <c r="J6" s="3" t="s">
        <v>5</v>
      </c>
      <c r="K6" s="3" t="s">
        <v>8</v>
      </c>
      <c r="L6" s="3">
        <f>COUNTIFS(A2:A20,"Muda",E2:E20,"Ya")/COUNTIF(E2:E20,"Ya")</f>
        <v>0.2</v>
      </c>
      <c r="N6" s="3" t="s">
        <v>3</v>
      </c>
      <c r="O6" s="3">
        <f>COUNTIFS($D$2:$D$20,"Tidak",$E$2:$E$20,"Ya")/COUNTIF($E$2:$E$20,"Ya")</f>
        <v>0.5</v>
      </c>
      <c r="P6" s="3">
        <f>COUNTIFS($D$2:$D$20,"Tidak",$E$2:$E$20,"Tidak")/COUNTIF($E$2:$E$20,"Tidak")</f>
        <v>0.1111111111111111</v>
      </c>
    </row>
    <row r="7" spans="1:16" ht="28.5" thickBot="1" x14ac:dyDescent="0.4">
      <c r="A7" s="2" t="s">
        <v>12</v>
      </c>
      <c r="B7" s="2" t="s">
        <v>6</v>
      </c>
      <c r="C7" s="2" t="s">
        <v>13</v>
      </c>
      <c r="D7" s="2" t="s">
        <v>8</v>
      </c>
      <c r="E7" s="2" t="s">
        <v>9</v>
      </c>
      <c r="G7" s="6" t="s">
        <v>20</v>
      </c>
      <c r="H7" s="6">
        <f>COUNTIF(E2:E19,"Tidak")/COUNTA(E2:E19)</f>
        <v>0.44444444444444442</v>
      </c>
      <c r="I7" s="8"/>
      <c r="J7" s="3"/>
      <c r="K7" s="3" t="s">
        <v>9</v>
      </c>
      <c r="L7" s="3">
        <f>COUNTIFS(A2:A20,"Muda",E2:E20,"Tidak")/COUNTIF(E2:E20,"Tidak")</f>
        <v>0.33333333333333331</v>
      </c>
      <c r="N7" t="s">
        <v>27</v>
      </c>
    </row>
    <row r="8" spans="1:16" ht="28.5" thickBot="1" x14ac:dyDescent="0.4">
      <c r="A8" s="2" t="s">
        <v>12</v>
      </c>
      <c r="B8" s="2" t="s">
        <v>6</v>
      </c>
      <c r="C8" s="2" t="s">
        <v>7</v>
      </c>
      <c r="D8" s="2" t="s">
        <v>8</v>
      </c>
      <c r="E8" s="2" t="s">
        <v>9</v>
      </c>
      <c r="J8" s="3" t="s">
        <v>14</v>
      </c>
      <c r="K8" s="3" t="s">
        <v>8</v>
      </c>
      <c r="L8" s="3">
        <f>COUNTIFS(A2:A20,"Tua",E2:E20,"Ya")/COUNTIF(E2:E20,"Ya")</f>
        <v>0.3</v>
      </c>
      <c r="M8" s="12"/>
      <c r="N8" s="3">
        <f>H6*PRODUCT(O3:O6)</f>
        <v>2.9166666666666667E-2</v>
      </c>
      <c r="O8" s="3">
        <f>H7*PRODUCT(P3:P6)</f>
        <v>1.6257684296093072E-3</v>
      </c>
    </row>
    <row r="9" spans="1:16" ht="28.5" thickBot="1" x14ac:dyDescent="0.4">
      <c r="A9" s="2" t="s">
        <v>12</v>
      </c>
      <c r="B9" s="2" t="s">
        <v>6</v>
      </c>
      <c r="C9" s="2" t="s">
        <v>10</v>
      </c>
      <c r="D9" s="2" t="s">
        <v>9</v>
      </c>
      <c r="E9" s="2" t="s">
        <v>8</v>
      </c>
      <c r="J9" s="3"/>
      <c r="K9" s="3" t="s">
        <v>9</v>
      </c>
      <c r="L9" s="3">
        <f>COUNTIFS(A2:A20,"Tua",E2:E20,"Tidak")/COUNTIF(E2:E20,"Tidak")</f>
        <v>0.44444444444444442</v>
      </c>
      <c r="N9" t="s">
        <v>28</v>
      </c>
    </row>
    <row r="10" spans="1:16" ht="28.5" thickBot="1" x14ac:dyDescent="0.4">
      <c r="A10" s="2" t="s">
        <v>12</v>
      </c>
      <c r="B10" s="2" t="s">
        <v>11</v>
      </c>
      <c r="C10" s="2" t="s">
        <v>13</v>
      </c>
      <c r="D10" s="2" t="s">
        <v>8</v>
      </c>
      <c r="E10" s="2" t="s">
        <v>8</v>
      </c>
      <c r="J10" s="11" t="s">
        <v>1</v>
      </c>
      <c r="K10" s="3"/>
      <c r="L10" s="3"/>
      <c r="N10" s="3">
        <f xml:space="preserve"> N8 / (N8 + O8)</f>
        <v>0.947202342896034</v>
      </c>
      <c r="O10" s="3">
        <f>O8 / (N8 + O8)</f>
        <v>5.2797657103966E-2</v>
      </c>
    </row>
    <row r="11" spans="1:16" ht="28.5" thickBot="1" x14ac:dyDescent="0.4">
      <c r="A11" s="2" t="s">
        <v>12</v>
      </c>
      <c r="B11" s="2" t="s">
        <v>11</v>
      </c>
      <c r="C11" s="2" t="s">
        <v>7</v>
      </c>
      <c r="D11" s="2" t="s">
        <v>8</v>
      </c>
      <c r="E11" s="2" t="s">
        <v>8</v>
      </c>
      <c r="J11" s="3" t="s">
        <v>6</v>
      </c>
      <c r="K11" s="3" t="s">
        <v>8</v>
      </c>
      <c r="L11" s="3">
        <f>COUNTIFS($B$2:$B$20,"Lajang",$E$2:$E$20,"Ya")/COUNTIF($E$2:$E$20,"Ya")</f>
        <v>0.3</v>
      </c>
      <c r="N11" t="s">
        <v>29</v>
      </c>
    </row>
    <row r="12" spans="1:16" ht="28.5" thickBot="1" x14ac:dyDescent="0.4">
      <c r="A12" s="2" t="s">
        <v>12</v>
      </c>
      <c r="B12" s="2" t="s">
        <v>11</v>
      </c>
      <c r="C12" s="2" t="s">
        <v>7</v>
      </c>
      <c r="D12" s="2" t="s">
        <v>9</v>
      </c>
      <c r="E12" s="2" t="s">
        <v>8</v>
      </c>
      <c r="J12" s="3"/>
      <c r="K12" s="3" t="s">
        <v>9</v>
      </c>
      <c r="L12" s="3">
        <f>COUNTIFS($B$2:$B$20,"Lajang",$E$2:$E$20,"Tidak")/COUNTIF($E$2:$E$20,"Tidak")</f>
        <v>0.66666666666666663</v>
      </c>
      <c r="N12" s="10" t="str">
        <f>IF(N10&gt;O10,"Ya","Tidak")</f>
        <v>Ya</v>
      </c>
    </row>
    <row r="13" spans="1:16" ht="28.5" thickBot="1" x14ac:dyDescent="0.4">
      <c r="A13" s="2" t="s">
        <v>12</v>
      </c>
      <c r="B13" s="2" t="s">
        <v>11</v>
      </c>
      <c r="C13" s="2" t="s">
        <v>10</v>
      </c>
      <c r="D13" s="2" t="s">
        <v>8</v>
      </c>
      <c r="E13" s="2" t="s">
        <v>8</v>
      </c>
      <c r="J13" s="3" t="s">
        <v>11</v>
      </c>
      <c r="K13" s="3" t="s">
        <v>8</v>
      </c>
      <c r="L13" s="3">
        <f>COUNTIFS($B$2:$B$20,"Menikah",$E$2:$E$20,"Ya")/COUNTIF($E$2:$E$20,"Ya")</f>
        <v>0.7</v>
      </c>
    </row>
    <row r="14" spans="1:16" ht="15" thickBot="1" x14ac:dyDescent="0.4">
      <c r="A14" s="2" t="s">
        <v>14</v>
      </c>
      <c r="B14" s="2" t="s">
        <v>6</v>
      </c>
      <c r="C14" s="2" t="s">
        <v>13</v>
      </c>
      <c r="D14" s="2" t="s">
        <v>8</v>
      </c>
      <c r="E14" s="2" t="s">
        <v>9</v>
      </c>
      <c r="J14" s="9"/>
      <c r="K14" s="9" t="s">
        <v>9</v>
      </c>
      <c r="L14" s="9">
        <f>COUNTIFS($B$2:$B$20,"Menikah",$E$2:$E$20,"Tidak")/COUNTIF($E$2:$E$20,"Tidak")</f>
        <v>0.33333333333333331</v>
      </c>
    </row>
    <row r="15" spans="1:16" ht="15" thickBot="1" x14ac:dyDescent="0.4">
      <c r="A15" s="2" t="s">
        <v>14</v>
      </c>
      <c r="B15" s="2" t="s">
        <v>6</v>
      </c>
      <c r="C15" s="2" t="s">
        <v>13</v>
      </c>
      <c r="D15" s="2" t="s">
        <v>9</v>
      </c>
      <c r="E15" s="2" t="s">
        <v>8</v>
      </c>
      <c r="J15" s="11" t="s">
        <v>2</v>
      </c>
      <c r="K15" s="3"/>
      <c r="L15" s="3"/>
    </row>
    <row r="16" spans="1:16" ht="15" thickBot="1" x14ac:dyDescent="0.4">
      <c r="A16" s="2" t="s">
        <v>14</v>
      </c>
      <c r="B16" s="2" t="s">
        <v>6</v>
      </c>
      <c r="C16" s="2" t="s">
        <v>10</v>
      </c>
      <c r="D16" s="2" t="s">
        <v>9</v>
      </c>
      <c r="E16" s="2" t="s">
        <v>9</v>
      </c>
      <c r="J16" s="3" t="s">
        <v>10</v>
      </c>
      <c r="K16" s="3" t="s">
        <v>8</v>
      </c>
      <c r="L16" s="3">
        <f>COUNTIFS($C$2:$C$20,"Rendah",$E$2:$E$20,"Ya")/COUNTIF($E$2:$E$20,"Ya")</f>
        <v>0.3</v>
      </c>
    </row>
    <row r="17" spans="1:12" ht="15" thickBot="1" x14ac:dyDescent="0.4">
      <c r="A17" s="2" t="s">
        <v>14</v>
      </c>
      <c r="B17" s="2" t="s">
        <v>11</v>
      </c>
      <c r="C17" s="2" t="s">
        <v>13</v>
      </c>
      <c r="D17" s="2" t="s">
        <v>8</v>
      </c>
      <c r="E17" s="2" t="s">
        <v>8</v>
      </c>
      <c r="J17" s="3"/>
      <c r="K17" s="3" t="s">
        <v>9</v>
      </c>
      <c r="L17" s="3">
        <f>COUNTIFS($C$2:$C$20,"Rendah",$E$2:$E$20,"Tidak")/COUNTIF($E$2:$E$20,"Tidak")</f>
        <v>0.44444444444444442</v>
      </c>
    </row>
    <row r="18" spans="1:12" ht="15" thickBot="1" x14ac:dyDescent="0.4">
      <c r="A18" s="2" t="s">
        <v>14</v>
      </c>
      <c r="B18" s="2" t="s">
        <v>11</v>
      </c>
      <c r="C18" s="2" t="s">
        <v>7</v>
      </c>
      <c r="D18" s="2" t="s">
        <v>8</v>
      </c>
      <c r="E18" s="2" t="s">
        <v>9</v>
      </c>
      <c r="J18" s="3" t="s">
        <v>7</v>
      </c>
      <c r="K18" s="3" t="s">
        <v>8</v>
      </c>
      <c r="L18" s="3">
        <f>COUNTIFS($C$2:$C$20,"Sedang",$E$2:$E$20,"Ya")/COUNTIF($E$2:$E$20,"Ya")</f>
        <v>0.4</v>
      </c>
    </row>
    <row r="19" spans="1:12" ht="15" thickBot="1" x14ac:dyDescent="0.4">
      <c r="A19" s="2" t="s">
        <v>14</v>
      </c>
      <c r="B19" s="2" t="s">
        <v>11</v>
      </c>
      <c r="C19" s="2" t="s">
        <v>7</v>
      </c>
      <c r="D19" s="2" t="s">
        <v>9</v>
      </c>
      <c r="E19" s="2" t="s">
        <v>8</v>
      </c>
      <c r="J19" s="3"/>
      <c r="K19" s="3" t="s">
        <v>9</v>
      </c>
      <c r="L19" s="3">
        <f>COUNTIFS($C$2:$C$20,"Sedang",$E$2:$E$20,"Tidak")/COUNTIF($E$2:$E$20,"Tidak")</f>
        <v>0.33333333333333331</v>
      </c>
    </row>
    <row r="20" spans="1:12" ht="15" thickBot="1" x14ac:dyDescent="0.4">
      <c r="A20" s="2" t="s">
        <v>14</v>
      </c>
      <c r="B20" s="2" t="s">
        <v>11</v>
      </c>
      <c r="C20" s="2" t="s">
        <v>10</v>
      </c>
      <c r="D20" s="2" t="s">
        <v>8</v>
      </c>
      <c r="E20" s="2" t="s">
        <v>9</v>
      </c>
      <c r="J20" s="3" t="s">
        <v>13</v>
      </c>
      <c r="K20" s="3" t="s">
        <v>8</v>
      </c>
      <c r="L20" s="3">
        <f>COUNTIFS($C$2:$C$20,"Tinggi",$E$2:$E$20,"Ya")/COUNTIF($E$2:$E$20,"Ya")</f>
        <v>0.3</v>
      </c>
    </row>
    <row r="21" spans="1:12" x14ac:dyDescent="0.35">
      <c r="J21" s="3"/>
      <c r="K21" s="3" t="s">
        <v>9</v>
      </c>
      <c r="L21" s="3">
        <f>COUNTIFS($C$2:$C$20,"Tinggi",$E$2:$E$20,"Tidak")/COUNTIF($E$2:$E$20,"Tidak")</f>
        <v>0.22222222222222221</v>
      </c>
    </row>
    <row r="22" spans="1:12" ht="28" x14ac:dyDescent="0.35">
      <c r="J22" s="13" t="s">
        <v>3</v>
      </c>
      <c r="K22" s="3"/>
      <c r="L22" s="3"/>
    </row>
    <row r="23" spans="1:12" x14ac:dyDescent="0.35">
      <c r="J23" s="3" t="s">
        <v>8</v>
      </c>
      <c r="K23" s="3" t="s">
        <v>8</v>
      </c>
      <c r="L23" s="3">
        <f>COUNTIFS($D$2:$D$20,"Ya",$E$2:$E$20,"Ya")/COUNTIF($E$2:$E$20,"Ya")</f>
        <v>0.5</v>
      </c>
    </row>
    <row r="24" spans="1:12" x14ac:dyDescent="0.35">
      <c r="E24" t="s">
        <v>9</v>
      </c>
      <c r="J24" s="3"/>
      <c r="K24" s="3" t="s">
        <v>9</v>
      </c>
      <c r="L24" s="3">
        <f>COUNTIFS($D$2:$D$20,"Ya",$E$2:$E$20,"Tidak")/COUNTIF($E$2:$E$20,"Tidak")</f>
        <v>0.88888888888888884</v>
      </c>
    </row>
    <row r="25" spans="1:12" x14ac:dyDescent="0.35">
      <c r="J25" s="3" t="s">
        <v>9</v>
      </c>
      <c r="K25" s="3" t="s">
        <v>8</v>
      </c>
      <c r="L25" s="3">
        <f>COUNTIFS($D$2:$D$20,"Tidak",$E$2:$E$20,"Ya")/COUNTIF($E$2:$E$20,"Ya")</f>
        <v>0.5</v>
      </c>
    </row>
    <row r="26" spans="1:12" x14ac:dyDescent="0.35">
      <c r="J26" s="3"/>
      <c r="K26" s="3" t="s">
        <v>9</v>
      </c>
      <c r="L26" s="3">
        <f>COUNTIFS($D$2:$D$20,"Tidak",$E$2:$E$20,"Tidak")/COUNTIF($E$2:$E$20,"Tidak")</f>
        <v>0.1111111111111111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6E104-21B4-469A-BB23-4571EB4B6BD8}">
  <sheetPr codeName="Sheet2"/>
  <dimension ref="A1:O42"/>
  <sheetViews>
    <sheetView tabSelected="1" topLeftCell="A12" zoomScale="93" workbookViewId="0">
      <selection activeCell="M21" sqref="M21"/>
    </sheetView>
  </sheetViews>
  <sheetFormatPr defaultRowHeight="14.5" x14ac:dyDescent="0.35"/>
  <cols>
    <col min="2" max="2" width="10.26953125" customWidth="1"/>
    <col min="3" max="3" width="13.81640625" customWidth="1"/>
    <col min="4" max="4" width="20" customWidth="1"/>
    <col min="5" max="5" width="14" customWidth="1"/>
    <col min="6" max="6" width="16" customWidth="1"/>
    <col min="7" max="7" width="14" customWidth="1"/>
    <col min="8" max="8" width="12.7265625" bestFit="1" customWidth="1"/>
    <col min="9" max="9" width="13.1796875" bestFit="1" customWidth="1"/>
    <col min="10" max="10" width="9.6328125" bestFit="1" customWidth="1"/>
    <col min="11" max="11" width="14.453125" customWidth="1"/>
    <col min="12" max="12" width="13.1796875" customWidth="1"/>
    <col min="13" max="13" width="11.36328125" bestFit="1" customWidth="1"/>
    <col min="14" max="15" width="12.08984375" bestFit="1" customWidth="1"/>
  </cols>
  <sheetData>
    <row r="1" spans="1:15" ht="1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G1" s="5" t="s">
        <v>15</v>
      </c>
      <c r="H1" s="10">
        <f>COUNTA(A$2:A$20)</f>
        <v>19</v>
      </c>
      <c r="L1" s="17" t="s">
        <v>31</v>
      </c>
      <c r="M1" s="17" t="s">
        <v>23</v>
      </c>
      <c r="N1" s="17" t="s">
        <v>8</v>
      </c>
      <c r="O1" s="17" t="s">
        <v>9</v>
      </c>
    </row>
    <row r="2" spans="1:15" ht="15" thickBot="1" x14ac:dyDescent="0.4">
      <c r="A2" s="2" t="s">
        <v>5</v>
      </c>
      <c r="B2" s="2" t="s">
        <v>6</v>
      </c>
      <c r="C2" s="2" t="s">
        <v>7</v>
      </c>
      <c r="D2" s="2" t="s">
        <v>8</v>
      </c>
      <c r="E2" s="2" t="s">
        <v>9</v>
      </c>
      <c r="G2" s="5" t="s">
        <v>16</v>
      </c>
      <c r="H2" s="10">
        <f>COUNTIF(E2:E20,"Ya")</f>
        <v>10</v>
      </c>
      <c r="L2" s="16" t="s">
        <v>0</v>
      </c>
      <c r="M2" s="16" t="s">
        <v>5</v>
      </c>
      <c r="N2" s="16">
        <f xml:space="preserve"> (COUNTIFS($A$2:$A$20,"Muda",$E$2:$E$20,"Ya")+1) / ($H$2+3)</f>
        <v>0.23076923076923078</v>
      </c>
      <c r="O2" s="16">
        <f xml:space="preserve"> (COUNTIFS($A$2:$A$20,"Muda",$E$2:$E$20,"Tidak")+1) / ($H$3+3)</f>
        <v>0.33333333333333331</v>
      </c>
    </row>
    <row r="3" spans="1:15" ht="15" thickBot="1" x14ac:dyDescent="0.4">
      <c r="A3" s="2" t="s">
        <v>5</v>
      </c>
      <c r="B3" s="2" t="s">
        <v>6</v>
      </c>
      <c r="C3" s="2" t="s">
        <v>10</v>
      </c>
      <c r="D3" s="2" t="s">
        <v>8</v>
      </c>
      <c r="E3" s="2" t="s">
        <v>9</v>
      </c>
      <c r="G3" s="5" t="s">
        <v>17</v>
      </c>
      <c r="H3" s="7">
        <f>COUNTIF(E2:E20,"Tidak")</f>
        <v>9</v>
      </c>
      <c r="L3" s="16" t="s">
        <v>0</v>
      </c>
      <c r="M3" s="16" t="s">
        <v>12</v>
      </c>
      <c r="N3" s="16">
        <f xml:space="preserve"> (COUNTIFS($A$2:$A$20,"Paruh Baya",$E$2:$E$20,"Tidak")+1) / ($H$2+3)</f>
        <v>0.23076923076923078</v>
      </c>
      <c r="O3" s="16">
        <f xml:space="preserve"> (COUNTIFS($A$2:$A$20,"Paruh Baya",$E$2:$E$20,"Ya")+1) / ($H$3+3)</f>
        <v>0.5</v>
      </c>
    </row>
    <row r="4" spans="1:15" ht="15" thickBot="1" x14ac:dyDescent="0.4">
      <c r="A4" s="2" t="s">
        <v>5</v>
      </c>
      <c r="B4" s="2" t="s">
        <v>6</v>
      </c>
      <c r="C4" s="2" t="s">
        <v>10</v>
      </c>
      <c r="D4" s="2" t="s">
        <v>9</v>
      </c>
      <c r="E4" s="2" t="s">
        <v>8</v>
      </c>
      <c r="G4" s="15" t="s">
        <v>18</v>
      </c>
      <c r="H4" s="14"/>
      <c r="L4" s="16" t="s">
        <v>0</v>
      </c>
      <c r="M4" s="16" t="s">
        <v>14</v>
      </c>
      <c r="N4" s="16">
        <f xml:space="preserve"> (COUNTIFS($A$2:$A$20,"Tua",$E$2:$E$20,"Ya")+1) / ($H$2+3)</f>
        <v>0.30769230769230771</v>
      </c>
      <c r="O4" s="16">
        <f xml:space="preserve"> (COUNTIFS($A$2:$A$20,"Tua",$E$2:$E$20,"Tidak")+1) / ($H$3+3)</f>
        <v>0.41666666666666669</v>
      </c>
    </row>
    <row r="5" spans="1:15" ht="15" thickBot="1" x14ac:dyDescent="0.4">
      <c r="A5" s="2" t="s">
        <v>5</v>
      </c>
      <c r="B5" s="2" t="s">
        <v>11</v>
      </c>
      <c r="C5" s="2" t="s">
        <v>7</v>
      </c>
      <c r="D5" s="2" t="s">
        <v>8</v>
      </c>
      <c r="E5" s="2" t="s">
        <v>8</v>
      </c>
      <c r="G5" s="7" t="s">
        <v>19</v>
      </c>
      <c r="H5" s="7">
        <f>COUNTIF($E$2:$E$20,"Ya")/COUNTA($E$2:$E$20)</f>
        <v>0.52631578947368418</v>
      </c>
      <c r="L5" s="16" t="s">
        <v>1</v>
      </c>
      <c r="M5" s="16" t="s">
        <v>6</v>
      </c>
      <c r="N5" s="16">
        <f xml:space="preserve"> (COUNTIFS($B$2:$B$20,"Lajang",$E$2:$E$20,"Ya")+1) / ($H$2+3)</f>
        <v>0.30769230769230771</v>
      </c>
      <c r="O5" s="16">
        <f xml:space="preserve"> (COUNTIFS($B$2:$B$20,"Lajang",$E$2:$E$20,"Tidak")+1) / ($H$3+3)</f>
        <v>0.58333333333333337</v>
      </c>
    </row>
    <row r="6" spans="1:15" ht="15" thickBot="1" x14ac:dyDescent="0.4">
      <c r="A6" s="2" t="s">
        <v>5</v>
      </c>
      <c r="B6" s="2" t="s">
        <v>11</v>
      </c>
      <c r="C6" s="2" t="s">
        <v>10</v>
      </c>
      <c r="D6" s="2" t="s">
        <v>8</v>
      </c>
      <c r="E6" s="2" t="s">
        <v>9</v>
      </c>
      <c r="G6" s="7" t="s">
        <v>20</v>
      </c>
      <c r="H6" s="7">
        <f>COUNTIF($E$2:$E$20,"Tidak")/COUNTA($E$2:$E$20)</f>
        <v>0.47368421052631576</v>
      </c>
      <c r="L6" s="16" t="s">
        <v>1</v>
      </c>
      <c r="M6" s="16" t="s">
        <v>11</v>
      </c>
      <c r="N6" s="16">
        <f xml:space="preserve"> (COUNTIFS($B$2:$B$20,"Menikah",$E$2:$E$20,"Ya")+1) / ($H$2+3)</f>
        <v>0.61538461538461542</v>
      </c>
      <c r="O6" s="16">
        <f xml:space="preserve"> (COUNTIFS($B$2:$B$20,"Menikah",$E$2:$E$20,"Tidak")+1) / ($H$3+3)</f>
        <v>0.33333333333333331</v>
      </c>
    </row>
    <row r="7" spans="1:15" ht="28.5" thickBot="1" x14ac:dyDescent="0.4">
      <c r="A7" s="2" t="s">
        <v>12</v>
      </c>
      <c r="B7" s="2" t="s">
        <v>6</v>
      </c>
      <c r="C7" s="2" t="s">
        <v>13</v>
      </c>
      <c r="D7" s="2" t="s">
        <v>8</v>
      </c>
      <c r="E7" s="2" t="s">
        <v>9</v>
      </c>
      <c r="L7" s="16" t="s">
        <v>2</v>
      </c>
      <c r="M7" s="16" t="s">
        <v>10</v>
      </c>
      <c r="N7" s="16">
        <f xml:space="preserve"> (COUNTIFS($C$2:$C$20,"Rendah",$E$2:$E$20,"Ya")+1) / ($H$2+3)</f>
        <v>0.30769230769230771</v>
      </c>
      <c r="O7" s="16">
        <f xml:space="preserve"> (COUNTIFS($C$2:$C$20,"Rendah",$E$2:$E$20,"Tidak")+1) / ($H$3+3)</f>
        <v>0.41666666666666669</v>
      </c>
    </row>
    <row r="8" spans="1:15" ht="28.5" thickBot="1" x14ac:dyDescent="0.4">
      <c r="A8" s="2" t="s">
        <v>12</v>
      </c>
      <c r="B8" s="2" t="s">
        <v>6</v>
      </c>
      <c r="C8" s="2" t="s">
        <v>7</v>
      </c>
      <c r="D8" s="2" t="s">
        <v>8</v>
      </c>
      <c r="E8" s="2" t="s">
        <v>9</v>
      </c>
      <c r="G8" s="25" t="s">
        <v>32</v>
      </c>
      <c r="L8" s="16" t="s">
        <v>2</v>
      </c>
      <c r="M8" s="16" t="s">
        <v>7</v>
      </c>
      <c r="N8" s="16">
        <f t="shared" ref="N8" si="0" xml:space="preserve"> (COUNTIFS($C$2:$C$20,"Sedang",$E$2:$E$20,"Ya")+1) / ($H$2+3)</f>
        <v>0.38461538461538464</v>
      </c>
      <c r="O8" s="16">
        <f xml:space="preserve"> (COUNTIFS($C$2:$C$20,"Sedang",$E$2:$E$20,"Tidak")+1) / ($H$3+3)</f>
        <v>0.33333333333333331</v>
      </c>
    </row>
    <row r="9" spans="1:15" ht="28.5" thickBot="1" x14ac:dyDescent="0.4">
      <c r="A9" s="2" t="s">
        <v>12</v>
      </c>
      <c r="B9" s="2" t="s">
        <v>6</v>
      </c>
      <c r="C9" s="2" t="s">
        <v>10</v>
      </c>
      <c r="D9" s="2" t="s">
        <v>9</v>
      </c>
      <c r="E9" s="2" t="s">
        <v>8</v>
      </c>
      <c r="G9" s="5" t="s">
        <v>33</v>
      </c>
      <c r="H9" s="5" t="s">
        <v>23</v>
      </c>
      <c r="I9" s="7" t="s">
        <v>34</v>
      </c>
      <c r="J9" s="7" t="s">
        <v>35</v>
      </c>
      <c r="L9" s="16" t="s">
        <v>2</v>
      </c>
      <c r="M9" s="16" t="s">
        <v>13</v>
      </c>
      <c r="N9" s="16">
        <f xml:space="preserve"> (COUNTIFS($C$2:$C$20,"Tinggi",$E$2:$E$20,"Ya")+1) / ($H$2+3)</f>
        <v>0.30769230769230771</v>
      </c>
      <c r="O9" s="16">
        <f xml:space="preserve"> (COUNTIFS($C$2:$C$20,"Tinggi",$E$2:$E$20,"Tidak")+1) / ($H$2+3)</f>
        <v>0.23076923076923078</v>
      </c>
    </row>
    <row r="10" spans="1:15" ht="29.5" thickBot="1" x14ac:dyDescent="0.4">
      <c r="A10" s="2" t="s">
        <v>12</v>
      </c>
      <c r="B10" s="2" t="s">
        <v>11</v>
      </c>
      <c r="C10" s="2" t="s">
        <v>13</v>
      </c>
      <c r="D10" s="2" t="s">
        <v>8</v>
      </c>
      <c r="E10" s="2" t="s">
        <v>8</v>
      </c>
      <c r="G10" s="5" t="s">
        <v>0</v>
      </c>
      <c r="H10" s="7"/>
      <c r="I10" s="7" t="e">
        <f>VLOOKUP(H10,$M$2:$O$11,2,FALSE)</f>
        <v>#N/A</v>
      </c>
      <c r="J10" s="7" t="e">
        <f>VLOOKUP(H10,$M$2:$O$11,3,FALSE)</f>
        <v>#N/A</v>
      </c>
      <c r="L10" s="16" t="s">
        <v>3</v>
      </c>
      <c r="M10" s="16" t="s">
        <v>8</v>
      </c>
      <c r="N10" s="16">
        <f xml:space="preserve"> (COUNTIFS($D$2:$D$20,"Ya",$E$2:$E$20,"Ya")+1) / ($H$2+3)</f>
        <v>0.46153846153846156</v>
      </c>
      <c r="O10" s="16">
        <f xml:space="preserve"> (COUNTIFS($D$2:$D$20,"Ya",$E$2:$E$20,"Tidak")+1) / ($H$3+3)</f>
        <v>0.75</v>
      </c>
    </row>
    <row r="11" spans="1:15" ht="29.5" thickBot="1" x14ac:dyDescent="0.4">
      <c r="A11" s="2" t="s">
        <v>12</v>
      </c>
      <c r="B11" s="2" t="s">
        <v>11</v>
      </c>
      <c r="C11" s="2" t="s">
        <v>7</v>
      </c>
      <c r="D11" s="2" t="s">
        <v>8</v>
      </c>
      <c r="E11" s="2" t="s">
        <v>8</v>
      </c>
      <c r="G11" s="5" t="s">
        <v>1</v>
      </c>
      <c r="H11" s="7"/>
      <c r="I11" s="7" t="e">
        <f>VLOOKUP(H11,$M$2:$O$11,2,FALSE)</f>
        <v>#N/A</v>
      </c>
      <c r="J11" s="7" t="e">
        <f t="shared" ref="J11:J13" si="1">VLOOKUP(H11,$M$2:$O$11,3,FALSE)</f>
        <v>#N/A</v>
      </c>
      <c r="L11" s="16" t="s">
        <v>3</v>
      </c>
      <c r="M11" s="16" t="s">
        <v>9</v>
      </c>
      <c r="N11" s="16">
        <f xml:space="preserve"> (COUNTIFS($D$2:$D$20,"Tidak",$E$2:$E$20,"Ya")+1) / ($H$2+3)</f>
        <v>0.46153846153846156</v>
      </c>
      <c r="O11" s="16">
        <f xml:space="preserve"> (COUNTIFS($D$2:$D$20,"Tidak",$E$2:$E$20,"Tidak")+1) / ($H$3+3)</f>
        <v>0.16666666666666666</v>
      </c>
    </row>
    <row r="12" spans="1:15" ht="28.5" thickBot="1" x14ac:dyDescent="0.4">
      <c r="A12" s="2" t="s">
        <v>12</v>
      </c>
      <c r="B12" s="2" t="s">
        <v>11</v>
      </c>
      <c r="C12" s="2" t="s">
        <v>7</v>
      </c>
      <c r="D12" s="2" t="s">
        <v>9</v>
      </c>
      <c r="E12" s="2" t="s">
        <v>8</v>
      </c>
      <c r="G12" s="5" t="s">
        <v>2</v>
      </c>
      <c r="H12" s="7"/>
      <c r="I12" s="7" t="e">
        <f t="shared" ref="I12:I13" si="2">VLOOKUP(H12,$M$2:$O$11,2,FALSE)</f>
        <v>#N/A</v>
      </c>
      <c r="J12" s="7" t="e">
        <f t="shared" si="1"/>
        <v>#N/A</v>
      </c>
    </row>
    <row r="13" spans="1:15" ht="28.5" thickBot="1" x14ac:dyDescent="0.4">
      <c r="A13" s="2" t="s">
        <v>12</v>
      </c>
      <c r="B13" s="2" t="s">
        <v>11</v>
      </c>
      <c r="C13" s="2" t="s">
        <v>10</v>
      </c>
      <c r="D13" s="2" t="s">
        <v>8</v>
      </c>
      <c r="E13" s="2" t="s">
        <v>8</v>
      </c>
      <c r="G13" s="5" t="s">
        <v>3</v>
      </c>
      <c r="H13" s="7"/>
      <c r="I13" s="7" t="e">
        <f t="shared" si="2"/>
        <v>#N/A</v>
      </c>
      <c r="J13" s="7" t="e">
        <f t="shared" si="1"/>
        <v>#N/A</v>
      </c>
    </row>
    <row r="14" spans="1:15" ht="15" thickBot="1" x14ac:dyDescent="0.4">
      <c r="A14" s="2" t="s">
        <v>14</v>
      </c>
      <c r="B14" s="2" t="s">
        <v>6</v>
      </c>
      <c r="C14" s="2" t="s">
        <v>13</v>
      </c>
      <c r="D14" s="2" t="s">
        <v>8</v>
      </c>
      <c r="E14" s="2" t="s">
        <v>9</v>
      </c>
      <c r="G14" s="5" t="s">
        <v>36</v>
      </c>
      <c r="H14" s="7"/>
      <c r="I14" s="7" t="e">
        <f xml:space="preserve"> $H$5 * PRODUCT(I10:I13)</f>
        <v>#N/A</v>
      </c>
      <c r="J14" s="7" t="e">
        <f xml:space="preserve"> $H$6 * PRODUCT(J10:J13)</f>
        <v>#N/A</v>
      </c>
    </row>
    <row r="15" spans="1:15" ht="15" thickBot="1" x14ac:dyDescent="0.4">
      <c r="A15" s="2" t="s">
        <v>14</v>
      </c>
      <c r="B15" s="2" t="s">
        <v>6</v>
      </c>
      <c r="C15" s="2" t="s">
        <v>13</v>
      </c>
      <c r="D15" s="2" t="s">
        <v>9</v>
      </c>
      <c r="E15" s="2" t="s">
        <v>8</v>
      </c>
      <c r="G15" s="5" t="s">
        <v>28</v>
      </c>
      <c r="H15" s="3"/>
      <c r="I15" s="3" t="e">
        <f>I14 / (I14 + J14)</f>
        <v>#N/A</v>
      </c>
      <c r="J15" s="3" t="e">
        <f>J14 / (I14 + J14)</f>
        <v>#N/A</v>
      </c>
    </row>
    <row r="16" spans="1:15" ht="15" thickBot="1" x14ac:dyDescent="0.4">
      <c r="A16" s="2" t="s">
        <v>14</v>
      </c>
      <c r="B16" s="2" t="s">
        <v>6</v>
      </c>
      <c r="C16" s="2" t="s">
        <v>10</v>
      </c>
      <c r="D16" s="2" t="s">
        <v>9</v>
      </c>
      <c r="E16" s="2" t="s">
        <v>9</v>
      </c>
      <c r="G16" s="26" t="s">
        <v>59</v>
      </c>
      <c r="H16" s="3"/>
      <c r="I16" s="3" t="e">
        <f>TEXT(I15,"0.00%")</f>
        <v>#N/A</v>
      </c>
      <c r="J16" s="3" t="e">
        <f>TEXT(J15,"0.00%")</f>
        <v>#N/A</v>
      </c>
    </row>
    <row r="17" spans="1:11" ht="15" thickBot="1" x14ac:dyDescent="0.4">
      <c r="A17" s="2" t="s">
        <v>14</v>
      </c>
      <c r="B17" s="2" t="s">
        <v>11</v>
      </c>
      <c r="C17" s="2" t="s">
        <v>13</v>
      </c>
      <c r="D17" s="2" t="s">
        <v>8</v>
      </c>
      <c r="E17" s="2" t="s">
        <v>8</v>
      </c>
      <c r="G17" s="5" t="s">
        <v>29</v>
      </c>
      <c r="H17" s="27" t="e">
        <f>IF(I15&gt;0.5, "Ya (" &amp; TEXT(I15,"0.00%") &amp; ")", "Tidak (" &amp; TEXT(1-I15,"0.00%") &amp; ")")</f>
        <v>#N/A</v>
      </c>
      <c r="I17" s="27"/>
      <c r="J17" s="27"/>
    </row>
    <row r="18" spans="1:11" ht="15" thickBot="1" x14ac:dyDescent="0.4">
      <c r="A18" s="2" t="s">
        <v>14</v>
      </c>
      <c r="B18" s="2" t="s">
        <v>11</v>
      </c>
      <c r="C18" s="2" t="s">
        <v>7</v>
      </c>
      <c r="D18" s="2" t="s">
        <v>8</v>
      </c>
      <c r="E18" s="2" t="s">
        <v>9</v>
      </c>
      <c r="G18" s="18" t="s">
        <v>37</v>
      </c>
    </row>
    <row r="19" spans="1:11" ht="15" thickBot="1" x14ac:dyDescent="0.4">
      <c r="A19" s="2" t="s">
        <v>14</v>
      </c>
      <c r="B19" s="2" t="s">
        <v>11</v>
      </c>
      <c r="C19" s="2" t="s">
        <v>7</v>
      </c>
      <c r="D19" s="2" t="s">
        <v>9</v>
      </c>
      <c r="E19" s="2" t="s">
        <v>8</v>
      </c>
      <c r="G19" s="19" t="s">
        <v>38</v>
      </c>
      <c r="H19" s="19"/>
      <c r="I19" s="19"/>
      <c r="J19" s="19"/>
    </row>
    <row r="20" spans="1:11" ht="15" thickBot="1" x14ac:dyDescent="0.4">
      <c r="A20" s="2" t="s">
        <v>14</v>
      </c>
      <c r="B20" s="2" t="s">
        <v>11</v>
      </c>
      <c r="C20" s="2" t="s">
        <v>10</v>
      </c>
      <c r="D20" s="2" t="s">
        <v>8</v>
      </c>
      <c r="E20" s="2" t="s">
        <v>9</v>
      </c>
      <c r="G20" s="20" t="s">
        <v>39</v>
      </c>
      <c r="H20" s="20"/>
      <c r="I20" s="20"/>
      <c r="J20" s="20"/>
    </row>
    <row r="21" spans="1:11" x14ac:dyDescent="0.35">
      <c r="G21" s="21" t="s">
        <v>40</v>
      </c>
      <c r="H21" s="21"/>
      <c r="I21" s="21"/>
      <c r="J21" s="21"/>
    </row>
    <row r="22" spans="1:11" x14ac:dyDescent="0.35">
      <c r="G22" s="21" t="s">
        <v>41</v>
      </c>
      <c r="H22" s="21"/>
      <c r="I22" s="21"/>
      <c r="J22" s="21"/>
    </row>
    <row r="25" spans="1:11" ht="42" customHeight="1" x14ac:dyDescent="0.35">
      <c r="A25" s="13" t="s">
        <v>0</v>
      </c>
      <c r="B25" s="13" t="s">
        <v>1</v>
      </c>
      <c r="C25" s="13" t="s">
        <v>2</v>
      </c>
      <c r="D25" s="13" t="s">
        <v>3</v>
      </c>
      <c r="E25" s="13" t="s">
        <v>63</v>
      </c>
      <c r="F25" s="13" t="s">
        <v>60</v>
      </c>
      <c r="G25" s="13" t="s">
        <v>61</v>
      </c>
      <c r="H25" s="13" t="s">
        <v>62</v>
      </c>
      <c r="I25" s="29" t="s">
        <v>64</v>
      </c>
      <c r="J25" s="29" t="s">
        <v>65</v>
      </c>
      <c r="K25" s="13" t="s">
        <v>29</v>
      </c>
    </row>
    <row r="26" spans="1:11" x14ac:dyDescent="0.35">
      <c r="A26" t="s">
        <v>5</v>
      </c>
      <c r="B26" t="s">
        <v>6</v>
      </c>
      <c r="C26" t="s">
        <v>13</v>
      </c>
      <c r="D26" t="s">
        <v>8</v>
      </c>
      <c r="E26">
        <v>5.3072002859991278E-3</v>
      </c>
      <c r="F26">
        <v>1.5941295546558706E-2</v>
      </c>
      <c r="G26">
        <v>0.24976828137957952</v>
      </c>
      <c r="H26">
        <v>0.75023171862042048</v>
      </c>
      <c r="I26" s="28">
        <v>0.24979999999999999</v>
      </c>
      <c r="J26" s="28">
        <v>0.75019999999999998</v>
      </c>
      <c r="K26" t="s">
        <v>42</v>
      </c>
    </row>
    <row r="27" spans="1:11" x14ac:dyDescent="0.35">
      <c r="A27" t="s">
        <v>5</v>
      </c>
      <c r="B27" t="s">
        <v>6</v>
      </c>
      <c r="C27" t="s">
        <v>7</v>
      </c>
      <c r="D27" t="s">
        <v>8</v>
      </c>
      <c r="E27">
        <v>6.6340003574989091E-3</v>
      </c>
      <c r="F27">
        <v>2.3026315789473683E-2</v>
      </c>
      <c r="G27">
        <v>0.22366586804490407</v>
      </c>
      <c r="H27">
        <v>0.77633413195509593</v>
      </c>
      <c r="I27" s="28">
        <v>0.22370000000000001</v>
      </c>
      <c r="J27" s="28">
        <v>0.77629999999999999</v>
      </c>
      <c r="K27" t="s">
        <v>43</v>
      </c>
    </row>
    <row r="28" spans="1:11" x14ac:dyDescent="0.35">
      <c r="A28" t="s">
        <v>5</v>
      </c>
      <c r="B28" t="s">
        <v>6</v>
      </c>
      <c r="C28" t="s">
        <v>7</v>
      </c>
      <c r="D28" t="s">
        <v>9</v>
      </c>
      <c r="E28">
        <v>6.6340003574989091E-3</v>
      </c>
      <c r="F28">
        <v>5.1169590643274842E-3</v>
      </c>
      <c r="G28">
        <v>0.56454967797581068</v>
      </c>
      <c r="H28">
        <v>0.43545032202418932</v>
      </c>
      <c r="I28" s="28">
        <v>0.5645</v>
      </c>
      <c r="J28" s="28">
        <v>0.4355</v>
      </c>
      <c r="K28" t="s">
        <v>44</v>
      </c>
    </row>
    <row r="29" spans="1:11" x14ac:dyDescent="0.35">
      <c r="A29" t="s">
        <v>5</v>
      </c>
      <c r="B29" t="s">
        <v>11</v>
      </c>
      <c r="C29" t="s">
        <v>13</v>
      </c>
      <c r="D29" t="s">
        <v>8</v>
      </c>
      <c r="E29">
        <v>1.0614400571998256E-2</v>
      </c>
      <c r="F29">
        <v>9.1093117408906875E-3</v>
      </c>
      <c r="G29">
        <v>0.53815429892789579</v>
      </c>
      <c r="H29">
        <v>0.46184570107210421</v>
      </c>
      <c r="I29" s="28">
        <v>0.53820000000000001</v>
      </c>
      <c r="J29" s="28">
        <v>0.46179999999999999</v>
      </c>
      <c r="K29" t="s">
        <v>45</v>
      </c>
    </row>
    <row r="30" spans="1:11" x14ac:dyDescent="0.35">
      <c r="A30" t="s">
        <v>5</v>
      </c>
      <c r="B30" t="s">
        <v>11</v>
      </c>
      <c r="C30" t="s">
        <v>13</v>
      </c>
      <c r="D30" t="s">
        <v>9</v>
      </c>
      <c r="E30">
        <v>1.0614400571998256E-2</v>
      </c>
      <c r="F30">
        <v>2.0242914979757081E-3</v>
      </c>
      <c r="G30">
        <v>0.83983378289713495</v>
      </c>
      <c r="H30">
        <v>0.16016621710286499</v>
      </c>
      <c r="I30" s="28">
        <v>0.83979999999999999</v>
      </c>
      <c r="J30" s="28">
        <v>0.16020000000000001</v>
      </c>
      <c r="K30" t="s">
        <v>46</v>
      </c>
    </row>
    <row r="31" spans="1:11" x14ac:dyDescent="0.35">
      <c r="A31" t="s">
        <v>5</v>
      </c>
      <c r="B31" t="s">
        <v>11</v>
      </c>
      <c r="C31" t="s">
        <v>7</v>
      </c>
      <c r="D31" t="s">
        <v>9</v>
      </c>
      <c r="E31">
        <v>1.3268000714997818E-2</v>
      </c>
      <c r="F31">
        <v>2.9239766081871339E-3</v>
      </c>
      <c r="G31">
        <v>0.81941818779598008</v>
      </c>
      <c r="H31">
        <v>0.18058181220401989</v>
      </c>
      <c r="I31" s="28">
        <v>0.81940000000000002</v>
      </c>
      <c r="J31" s="28">
        <v>0.18060000000000001</v>
      </c>
      <c r="K31" t="s">
        <v>47</v>
      </c>
    </row>
    <row r="32" spans="1:11" x14ac:dyDescent="0.35">
      <c r="A32" t="s">
        <v>5</v>
      </c>
      <c r="B32" t="s">
        <v>11</v>
      </c>
      <c r="C32" t="s">
        <v>10</v>
      </c>
      <c r="D32" t="s">
        <v>9</v>
      </c>
      <c r="E32">
        <v>1.0614400571998256E-2</v>
      </c>
      <c r="F32">
        <v>3.6549707602339175E-3</v>
      </c>
      <c r="G32">
        <v>0.7438590197748981</v>
      </c>
      <c r="H32">
        <v>0.25614098022510196</v>
      </c>
      <c r="I32" s="28">
        <v>0.74390000000000001</v>
      </c>
      <c r="J32" s="28">
        <v>0.25609999999999999</v>
      </c>
      <c r="K32" t="s">
        <v>48</v>
      </c>
    </row>
    <row r="33" spans="1:11" x14ac:dyDescent="0.35">
      <c r="A33" t="s">
        <v>12</v>
      </c>
      <c r="B33" t="s">
        <v>6</v>
      </c>
      <c r="C33" t="s">
        <v>13</v>
      </c>
      <c r="D33" t="s">
        <v>9</v>
      </c>
      <c r="E33">
        <v>5.3072002859991278E-3</v>
      </c>
      <c r="F33">
        <v>5.3137651821862347E-3</v>
      </c>
      <c r="G33">
        <v>0.49969094635479366</v>
      </c>
      <c r="H33">
        <v>0.50030905364520639</v>
      </c>
      <c r="I33" s="28">
        <v>0.49969999999999998</v>
      </c>
      <c r="J33" s="28">
        <v>0.50029999999999997</v>
      </c>
      <c r="K33" t="s">
        <v>49</v>
      </c>
    </row>
    <row r="34" spans="1:11" x14ac:dyDescent="0.35">
      <c r="A34" t="s">
        <v>12</v>
      </c>
      <c r="B34" t="s">
        <v>6</v>
      </c>
      <c r="C34" t="s">
        <v>7</v>
      </c>
      <c r="D34" t="s">
        <v>9</v>
      </c>
      <c r="E34">
        <v>6.6340003574989091E-3</v>
      </c>
      <c r="F34">
        <v>7.6754385964912276E-3</v>
      </c>
      <c r="G34">
        <v>0.46361009532446007</v>
      </c>
      <c r="H34">
        <v>0.53638990467553993</v>
      </c>
      <c r="I34" s="28">
        <v>0.46360000000000001</v>
      </c>
      <c r="J34" s="28">
        <v>0.53639999999999999</v>
      </c>
      <c r="K34" t="s">
        <v>50</v>
      </c>
    </row>
    <row r="35" spans="1:11" x14ac:dyDescent="0.35">
      <c r="A35" t="s">
        <v>12</v>
      </c>
      <c r="B35" t="s">
        <v>6</v>
      </c>
      <c r="C35" t="s">
        <v>10</v>
      </c>
      <c r="D35" t="s">
        <v>8</v>
      </c>
      <c r="E35">
        <v>5.3072002859991278E-3</v>
      </c>
      <c r="F35">
        <v>4.3174342105263157E-2</v>
      </c>
      <c r="G35">
        <v>0.10946847035451644</v>
      </c>
      <c r="H35">
        <v>0.89053152964548354</v>
      </c>
      <c r="I35" s="28">
        <v>0.1095</v>
      </c>
      <c r="J35" s="28">
        <v>0.89049999999999996</v>
      </c>
      <c r="K35" t="s">
        <v>51</v>
      </c>
    </row>
    <row r="36" spans="1:11" x14ac:dyDescent="0.35">
      <c r="A36" t="s">
        <v>12</v>
      </c>
      <c r="B36" t="s">
        <v>11</v>
      </c>
      <c r="C36" t="s">
        <v>13</v>
      </c>
      <c r="D36" t="s">
        <v>9</v>
      </c>
      <c r="E36">
        <v>1.0614400571998256E-2</v>
      </c>
      <c r="F36">
        <v>3.0364372469635624E-3</v>
      </c>
      <c r="G36">
        <v>0.7775640376632581</v>
      </c>
      <c r="H36">
        <v>0.22243596233674187</v>
      </c>
      <c r="I36" s="28">
        <v>0.77759999999999996</v>
      </c>
      <c r="J36" s="28">
        <v>0.22239999999999999</v>
      </c>
      <c r="K36" t="s">
        <v>52</v>
      </c>
    </row>
    <row r="37" spans="1:11" x14ac:dyDescent="0.35">
      <c r="A37" t="s">
        <v>12</v>
      </c>
      <c r="B37" t="s">
        <v>11</v>
      </c>
      <c r="C37" t="s">
        <v>10</v>
      </c>
      <c r="D37" t="s">
        <v>9</v>
      </c>
      <c r="E37">
        <v>1.0614400571998256E-2</v>
      </c>
      <c r="F37">
        <v>5.4824561403508769E-3</v>
      </c>
      <c r="G37">
        <v>0.65940827837866856</v>
      </c>
      <c r="H37">
        <v>0.3405917216213315</v>
      </c>
      <c r="I37" s="28">
        <v>0.65939999999999999</v>
      </c>
      <c r="J37" s="28">
        <v>0.34060000000000001</v>
      </c>
      <c r="K37" t="s">
        <v>53</v>
      </c>
    </row>
    <row r="38" spans="1:11" x14ac:dyDescent="0.35">
      <c r="A38" t="s">
        <v>14</v>
      </c>
      <c r="B38" t="s">
        <v>6</v>
      </c>
      <c r="C38" t="s">
        <v>7</v>
      </c>
      <c r="D38" t="s">
        <v>8</v>
      </c>
      <c r="E38">
        <v>8.845333809998546E-3</v>
      </c>
      <c r="F38">
        <v>2.8782894736842105E-2</v>
      </c>
      <c r="G38">
        <v>0.23507175733738386</v>
      </c>
      <c r="H38">
        <v>0.76492824266261616</v>
      </c>
      <c r="I38" s="28">
        <v>0.2351</v>
      </c>
      <c r="J38" s="28">
        <v>0.76490000000000002</v>
      </c>
      <c r="K38" t="s">
        <v>54</v>
      </c>
    </row>
    <row r="39" spans="1:11" x14ac:dyDescent="0.35">
      <c r="A39" t="s">
        <v>14</v>
      </c>
      <c r="B39" t="s">
        <v>6</v>
      </c>
      <c r="C39" t="s">
        <v>7</v>
      </c>
      <c r="D39" t="s">
        <v>9</v>
      </c>
      <c r="E39">
        <v>8.845333809998546E-3</v>
      </c>
      <c r="F39">
        <v>6.3961988304093564E-3</v>
      </c>
      <c r="G39">
        <v>0.58034411752975923</v>
      </c>
      <c r="H39">
        <v>0.41965588247024072</v>
      </c>
      <c r="I39" s="28">
        <v>0.58030000000000004</v>
      </c>
      <c r="J39" s="28">
        <v>0.41970000000000002</v>
      </c>
      <c r="K39" t="s">
        <v>55</v>
      </c>
    </row>
    <row r="40" spans="1:11" x14ac:dyDescent="0.35">
      <c r="A40" t="s">
        <v>14</v>
      </c>
      <c r="B40" t="s">
        <v>6</v>
      </c>
      <c r="C40" t="s">
        <v>10</v>
      </c>
      <c r="D40" t="s">
        <v>8</v>
      </c>
      <c r="E40">
        <v>7.0762670479988365E-3</v>
      </c>
      <c r="F40">
        <v>3.5978618421052634E-2</v>
      </c>
      <c r="G40">
        <v>0.16435456675608554</v>
      </c>
      <c r="H40">
        <v>0.83564543324391449</v>
      </c>
      <c r="I40" s="28">
        <v>0.16439999999999999</v>
      </c>
      <c r="J40" s="28">
        <v>0.83560000000000001</v>
      </c>
      <c r="K40" t="s">
        <v>56</v>
      </c>
    </row>
    <row r="41" spans="1:11" x14ac:dyDescent="0.35">
      <c r="A41" t="s">
        <v>14</v>
      </c>
      <c r="B41" t="s">
        <v>11</v>
      </c>
      <c r="C41" t="s">
        <v>13</v>
      </c>
      <c r="D41" t="s">
        <v>9</v>
      </c>
      <c r="E41">
        <v>1.4152534095997673E-2</v>
      </c>
      <c r="F41">
        <v>2.5303643724696357E-3</v>
      </c>
      <c r="G41">
        <v>0.84832585433206764</v>
      </c>
      <c r="H41">
        <v>0.15167414566793233</v>
      </c>
      <c r="I41" s="28">
        <v>0.84830000000000005</v>
      </c>
      <c r="J41" s="28">
        <v>0.1517</v>
      </c>
      <c r="K41" t="s">
        <v>57</v>
      </c>
    </row>
    <row r="42" spans="1:11" x14ac:dyDescent="0.35">
      <c r="A42" t="s">
        <v>14</v>
      </c>
      <c r="B42" t="s">
        <v>11</v>
      </c>
      <c r="C42" t="s">
        <v>10</v>
      </c>
      <c r="D42" t="s">
        <v>9</v>
      </c>
      <c r="E42">
        <v>1.4152534095997673E-2</v>
      </c>
      <c r="F42">
        <v>4.5687134502923974E-3</v>
      </c>
      <c r="G42">
        <v>0.75596105767012489</v>
      </c>
      <c r="H42">
        <v>0.24403894232987505</v>
      </c>
      <c r="I42" s="28">
        <v>0.75600000000000001</v>
      </c>
      <c r="J42" s="28">
        <v>0.24399999999999999</v>
      </c>
      <c r="K42" t="s">
        <v>58</v>
      </c>
    </row>
  </sheetData>
  <mergeCells count="5">
    <mergeCell ref="H17:J17"/>
    <mergeCell ref="G19:J19"/>
    <mergeCell ref="G20:J20"/>
    <mergeCell ref="G21:J21"/>
    <mergeCell ref="G22:J22"/>
  </mergeCells>
  <dataValidations count="4">
    <dataValidation type="list" allowBlank="1" showInputMessage="1" showErrorMessage="1" sqref="H10" xr:uid="{0EB3A81F-7578-4540-A564-35644A465D49}">
      <formula1>"Muda,Paruh Baya,Tua"</formula1>
    </dataValidation>
    <dataValidation type="list" allowBlank="1" showInputMessage="1" showErrorMessage="1" sqref="H11" xr:uid="{A5263E47-6D7C-47B3-9452-5643705A8CB9}">
      <formula1>"Lajang, Menikah"</formula1>
    </dataValidation>
    <dataValidation type="list" allowBlank="1" showInputMessage="1" showErrorMessage="1" sqref="H12" xr:uid="{54A1C87E-6F21-4AAD-8590-71BED7F55A19}">
      <formula1>"Rendah, Sedang, Tinggi"</formula1>
    </dataValidation>
    <dataValidation type="list" allowBlank="1" showInputMessage="1" showErrorMessage="1" sqref="H13" xr:uid="{F78CBB20-B47E-4C4A-B019-F524FA57B18A}">
      <formula1>"Ya, Tidak"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PrediksiBatchNaiveBayesLengkap">
                <anchor moveWithCells="1">
                  <from>
                    <xdr:col>11</xdr:col>
                    <xdr:colOff>266700</xdr:colOff>
                    <xdr:row>14</xdr:row>
                    <xdr:rowOff>82550</xdr:rowOff>
                  </from>
                  <to>
                    <xdr:col>11</xdr:col>
                    <xdr:colOff>793750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A4BF-8985-4652-A35F-AA45C9A283E6}">
  <sheetPr codeName="Sheet3"/>
  <dimension ref="A1:H18"/>
  <sheetViews>
    <sheetView workbookViewId="0">
      <selection activeCell="F1" sqref="F1"/>
    </sheetView>
  </sheetViews>
  <sheetFormatPr defaultRowHeight="14.5" x14ac:dyDescent="0.35"/>
  <cols>
    <col min="1" max="1" width="16.08984375" customWidth="1"/>
    <col min="2" max="2" width="12.90625" customWidth="1"/>
    <col min="3" max="3" width="15.7265625" customWidth="1"/>
    <col min="4" max="4" width="12" customWidth="1"/>
  </cols>
  <sheetData>
    <row r="1" spans="1:8" ht="29" thickBot="1" x14ac:dyDescent="0.4">
      <c r="A1" s="22" t="s">
        <v>0</v>
      </c>
      <c r="B1" s="22" t="s">
        <v>1</v>
      </c>
      <c r="C1" s="22" t="s">
        <v>2</v>
      </c>
      <c r="D1" s="22" t="s">
        <v>3</v>
      </c>
      <c r="E1" s="5" t="s">
        <v>29</v>
      </c>
      <c r="F1" s="5" t="s">
        <v>36</v>
      </c>
    </row>
    <row r="2" spans="1:8" ht="42.5" thickBot="1" x14ac:dyDescent="0.4">
      <c r="A2" s="24" t="s">
        <v>5</v>
      </c>
      <c r="B2" s="24" t="s">
        <v>6</v>
      </c>
      <c r="C2" s="24" t="s">
        <v>13</v>
      </c>
      <c r="D2" s="24" t="s">
        <v>8</v>
      </c>
      <c r="E2" s="23" t="s">
        <v>42</v>
      </c>
      <c r="F2">
        <v>5.3072002859991278E-3</v>
      </c>
      <c r="G2">
        <v>1.5941295546558706E-2</v>
      </c>
      <c r="H2">
        <v>0.24976828137957952</v>
      </c>
    </row>
    <row r="3" spans="1:8" ht="42.5" thickBot="1" x14ac:dyDescent="0.4">
      <c r="A3" s="24" t="s">
        <v>5</v>
      </c>
      <c r="B3" s="24" t="s">
        <v>6</v>
      </c>
      <c r="C3" s="24" t="s">
        <v>7</v>
      </c>
      <c r="D3" s="24" t="s">
        <v>8</v>
      </c>
      <c r="E3" s="23" t="s">
        <v>43</v>
      </c>
      <c r="F3">
        <v>6.6340003574989091E-3</v>
      </c>
      <c r="G3">
        <v>2.3026315789473683E-2</v>
      </c>
      <c r="H3">
        <v>0.22366586804490407</v>
      </c>
    </row>
    <row r="4" spans="1:8" ht="42.5" thickBot="1" x14ac:dyDescent="0.4">
      <c r="A4" s="24" t="s">
        <v>5</v>
      </c>
      <c r="B4" s="24" t="s">
        <v>6</v>
      </c>
      <c r="C4" s="24" t="s">
        <v>7</v>
      </c>
      <c r="D4" s="24" t="s">
        <v>9</v>
      </c>
      <c r="E4" s="23" t="s">
        <v>44</v>
      </c>
      <c r="F4">
        <v>6.6340003574989091E-3</v>
      </c>
      <c r="G4">
        <v>5.1169590643274842E-3</v>
      </c>
      <c r="H4">
        <v>0.56454967797581068</v>
      </c>
    </row>
    <row r="5" spans="1:8" ht="42.5" thickBot="1" x14ac:dyDescent="0.4">
      <c r="A5" s="24" t="s">
        <v>5</v>
      </c>
      <c r="B5" s="24" t="s">
        <v>11</v>
      </c>
      <c r="C5" s="24" t="s">
        <v>13</v>
      </c>
      <c r="D5" s="24" t="s">
        <v>8</v>
      </c>
      <c r="E5" s="23" t="s">
        <v>45</v>
      </c>
      <c r="F5">
        <v>1.0614400571998256E-2</v>
      </c>
      <c r="G5">
        <v>9.1093117408906875E-3</v>
      </c>
      <c r="H5">
        <v>0.53815429892789579</v>
      </c>
    </row>
    <row r="6" spans="1:8" ht="42.5" thickBot="1" x14ac:dyDescent="0.4">
      <c r="A6" s="24" t="s">
        <v>5</v>
      </c>
      <c r="B6" s="24" t="s">
        <v>11</v>
      </c>
      <c r="C6" s="24" t="s">
        <v>13</v>
      </c>
      <c r="D6" s="24" t="s">
        <v>9</v>
      </c>
      <c r="E6" s="23" t="s">
        <v>46</v>
      </c>
      <c r="F6">
        <v>1.0614400571998256E-2</v>
      </c>
      <c r="G6">
        <v>2.0242914979757081E-3</v>
      </c>
      <c r="H6">
        <v>0.83983378289713495</v>
      </c>
    </row>
    <row r="7" spans="1:8" ht="42.5" thickBot="1" x14ac:dyDescent="0.4">
      <c r="A7" s="24" t="s">
        <v>5</v>
      </c>
      <c r="B7" s="24" t="s">
        <v>11</v>
      </c>
      <c r="C7" s="24" t="s">
        <v>7</v>
      </c>
      <c r="D7" s="24" t="s">
        <v>9</v>
      </c>
      <c r="E7" s="23" t="s">
        <v>47</v>
      </c>
      <c r="F7">
        <v>1.3268000714997818E-2</v>
      </c>
      <c r="G7">
        <v>2.9239766081871339E-3</v>
      </c>
      <c r="H7">
        <v>0.81941818779598008</v>
      </c>
    </row>
    <row r="8" spans="1:8" ht="42.5" thickBot="1" x14ac:dyDescent="0.4">
      <c r="A8" s="24" t="s">
        <v>5</v>
      </c>
      <c r="B8" s="24" t="s">
        <v>11</v>
      </c>
      <c r="C8" s="24" t="s">
        <v>10</v>
      </c>
      <c r="D8" s="24" t="s">
        <v>9</v>
      </c>
      <c r="E8" s="23" t="s">
        <v>48</v>
      </c>
      <c r="F8">
        <v>1.0614400571998256E-2</v>
      </c>
      <c r="G8">
        <v>3.6549707602339175E-3</v>
      </c>
      <c r="H8">
        <v>0.7438590197748981</v>
      </c>
    </row>
    <row r="9" spans="1:8" ht="42.5" thickBot="1" x14ac:dyDescent="0.4">
      <c r="A9" s="24" t="s">
        <v>12</v>
      </c>
      <c r="B9" s="24" t="s">
        <v>6</v>
      </c>
      <c r="C9" s="24" t="s">
        <v>13</v>
      </c>
      <c r="D9" s="24" t="s">
        <v>9</v>
      </c>
      <c r="E9" s="23" t="s">
        <v>49</v>
      </c>
      <c r="F9">
        <v>5.3072002859991278E-3</v>
      </c>
      <c r="G9">
        <v>5.3137651821862347E-3</v>
      </c>
      <c r="H9">
        <v>0.49969094635479366</v>
      </c>
    </row>
    <row r="10" spans="1:8" ht="42.5" thickBot="1" x14ac:dyDescent="0.4">
      <c r="A10" s="24" t="s">
        <v>12</v>
      </c>
      <c r="B10" s="24" t="s">
        <v>6</v>
      </c>
      <c r="C10" s="24" t="s">
        <v>7</v>
      </c>
      <c r="D10" s="24" t="s">
        <v>9</v>
      </c>
      <c r="E10" s="23" t="s">
        <v>50</v>
      </c>
      <c r="F10">
        <v>6.6340003574989091E-3</v>
      </c>
      <c r="G10">
        <v>7.6754385964912276E-3</v>
      </c>
      <c r="H10">
        <v>0.46361009532446007</v>
      </c>
    </row>
    <row r="11" spans="1:8" ht="42.5" thickBot="1" x14ac:dyDescent="0.4">
      <c r="A11" s="24" t="s">
        <v>12</v>
      </c>
      <c r="B11" s="24" t="s">
        <v>6</v>
      </c>
      <c r="C11" s="24" t="s">
        <v>10</v>
      </c>
      <c r="D11" s="24" t="s">
        <v>8</v>
      </c>
      <c r="E11" s="23" t="s">
        <v>51</v>
      </c>
      <c r="F11">
        <v>5.3072002859991278E-3</v>
      </c>
      <c r="G11">
        <v>4.3174342105263157E-2</v>
      </c>
      <c r="H11">
        <v>0.10946847035451644</v>
      </c>
    </row>
    <row r="12" spans="1:8" ht="42.5" thickBot="1" x14ac:dyDescent="0.4">
      <c r="A12" s="24" t="s">
        <v>12</v>
      </c>
      <c r="B12" s="24" t="s">
        <v>11</v>
      </c>
      <c r="C12" s="24" t="s">
        <v>13</v>
      </c>
      <c r="D12" s="24" t="s">
        <v>9</v>
      </c>
      <c r="E12" s="23" t="s">
        <v>52</v>
      </c>
      <c r="F12">
        <v>1.0614400571998256E-2</v>
      </c>
      <c r="G12">
        <v>3.0364372469635624E-3</v>
      </c>
      <c r="H12">
        <v>0.7775640376632581</v>
      </c>
    </row>
    <row r="13" spans="1:8" ht="42.5" thickBot="1" x14ac:dyDescent="0.4">
      <c r="A13" s="24" t="s">
        <v>12</v>
      </c>
      <c r="B13" s="24" t="s">
        <v>11</v>
      </c>
      <c r="C13" s="24" t="s">
        <v>10</v>
      </c>
      <c r="D13" s="24" t="s">
        <v>9</v>
      </c>
      <c r="E13" s="23" t="s">
        <v>53</v>
      </c>
      <c r="F13">
        <v>1.0614400571998256E-2</v>
      </c>
      <c r="G13">
        <v>5.4824561403508769E-3</v>
      </c>
      <c r="H13">
        <v>0.65940827837866856</v>
      </c>
    </row>
    <row r="14" spans="1:8" ht="42.5" thickBot="1" x14ac:dyDescent="0.4">
      <c r="A14" s="24" t="s">
        <v>14</v>
      </c>
      <c r="B14" s="24" t="s">
        <v>6</v>
      </c>
      <c r="C14" s="24" t="s">
        <v>7</v>
      </c>
      <c r="D14" s="24" t="s">
        <v>8</v>
      </c>
      <c r="E14" s="23" t="s">
        <v>54</v>
      </c>
      <c r="F14">
        <v>8.845333809998546E-3</v>
      </c>
      <c r="G14">
        <v>2.8782894736842105E-2</v>
      </c>
      <c r="H14">
        <v>0.23507175733738386</v>
      </c>
    </row>
    <row r="15" spans="1:8" ht="42.5" thickBot="1" x14ac:dyDescent="0.4">
      <c r="A15" s="24" t="s">
        <v>14</v>
      </c>
      <c r="B15" s="24" t="s">
        <v>6</v>
      </c>
      <c r="C15" s="24" t="s">
        <v>7</v>
      </c>
      <c r="D15" s="24" t="s">
        <v>9</v>
      </c>
      <c r="E15" s="23" t="s">
        <v>55</v>
      </c>
      <c r="F15">
        <v>8.845333809998546E-3</v>
      </c>
      <c r="G15">
        <v>6.3961988304093564E-3</v>
      </c>
      <c r="H15">
        <v>0.58034411752975923</v>
      </c>
    </row>
    <row r="16" spans="1:8" ht="42.5" thickBot="1" x14ac:dyDescent="0.4">
      <c r="A16" s="24" t="s">
        <v>14</v>
      </c>
      <c r="B16" s="24" t="s">
        <v>6</v>
      </c>
      <c r="C16" s="24" t="s">
        <v>10</v>
      </c>
      <c r="D16" s="24" t="s">
        <v>8</v>
      </c>
      <c r="E16" s="23" t="s">
        <v>56</v>
      </c>
      <c r="F16">
        <v>7.0762670479988365E-3</v>
      </c>
      <c r="G16">
        <v>3.5978618421052634E-2</v>
      </c>
      <c r="H16">
        <v>0.16435456675608554</v>
      </c>
    </row>
    <row r="17" spans="1:8" ht="42.5" thickBot="1" x14ac:dyDescent="0.4">
      <c r="A17" s="24" t="s">
        <v>14</v>
      </c>
      <c r="B17" s="24" t="s">
        <v>11</v>
      </c>
      <c r="C17" s="24" t="s">
        <v>13</v>
      </c>
      <c r="D17" s="24" t="s">
        <v>9</v>
      </c>
      <c r="E17" s="23" t="s">
        <v>57</v>
      </c>
      <c r="F17">
        <v>1.4152534095997673E-2</v>
      </c>
      <c r="G17">
        <v>2.5303643724696357E-3</v>
      </c>
      <c r="H17">
        <v>0.84832585433206764</v>
      </c>
    </row>
    <row r="18" spans="1:8" ht="42.5" thickBot="1" x14ac:dyDescent="0.4">
      <c r="A18" s="24" t="s">
        <v>14</v>
      </c>
      <c r="B18" s="24" t="s">
        <v>11</v>
      </c>
      <c r="C18" s="24" t="s">
        <v>10</v>
      </c>
      <c r="D18" s="24" t="s">
        <v>9</v>
      </c>
      <c r="E18" s="23" t="s">
        <v>58</v>
      </c>
      <c r="F18">
        <v>1.4152534095997673E-2</v>
      </c>
      <c r="G18">
        <v>4.5687134502923974E-3</v>
      </c>
      <c r="H18">
        <v>0.75596105767012489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Fahrozi Aldinata</dc:creator>
  <cp:lastModifiedBy>Fahrozi Aldinata</cp:lastModifiedBy>
  <dcterms:created xsi:type="dcterms:W3CDTF">2025-10-27T02:18:08Z</dcterms:created>
  <dcterms:modified xsi:type="dcterms:W3CDTF">2025-10-27T05:46:41Z</dcterms:modified>
</cp:coreProperties>
</file>