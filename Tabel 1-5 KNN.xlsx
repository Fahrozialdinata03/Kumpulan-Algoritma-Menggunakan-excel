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87F7AF9C-ED7D-4686-AC1F-B87F60C96B94}" xr6:coauthVersionLast="47" xr6:coauthVersionMax="47" xr10:uidLastSave="{00000000-0000-0000-0000-000000000000}"/>
  <bookViews>
    <workbookView xWindow="-120" yWindow="-120" windowWidth="29040" windowHeight="16440" activeTab="4" xr2:uid="{C2A52A15-163E-4A4D-BA07-72A3D22CF592}"/>
  </bookViews>
  <sheets>
    <sheet name="Tabel 1" sheetId="1" r:id="rId1"/>
    <sheet name="Tabel 2" sheetId="2" r:id="rId2"/>
    <sheet name="Tabel 3" sheetId="3" r:id="rId3"/>
    <sheet name="Tabel 4" sheetId="4" r:id="rId4"/>
    <sheet name="Tabel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4" l="1"/>
  <c r="G19" i="4"/>
  <c r="G21" i="4"/>
  <c r="G23" i="4"/>
  <c r="G25" i="4"/>
  <c r="G15" i="4"/>
  <c r="G17" i="3"/>
  <c r="G19" i="3"/>
  <c r="G21" i="3"/>
  <c r="G23" i="3"/>
  <c r="G25" i="3"/>
  <c r="G15" i="3"/>
  <c r="G17" i="2"/>
  <c r="G19" i="2"/>
  <c r="G15" i="2"/>
  <c r="F16" i="2"/>
  <c r="F17" i="2"/>
  <c r="F18" i="2"/>
  <c r="F19" i="2"/>
  <c r="F20" i="2"/>
  <c r="F21" i="2"/>
  <c r="F15" i="2"/>
  <c r="G17" i="1"/>
  <c r="G19" i="1"/>
  <c r="G21" i="1"/>
  <c r="G23" i="1"/>
  <c r="G15" i="1"/>
  <c r="G15" i="5"/>
  <c r="G29" i="5"/>
  <c r="G27" i="5"/>
  <c r="G25" i="5"/>
  <c r="G23" i="5"/>
  <c r="G21" i="5"/>
  <c r="G19" i="5"/>
  <c r="G17" i="5"/>
  <c r="F31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15" i="5"/>
  <c r="F27" i="4"/>
  <c r="F16" i="4"/>
  <c r="F17" i="4"/>
  <c r="F18" i="4"/>
  <c r="F19" i="4"/>
  <c r="F20" i="4"/>
  <c r="F21" i="4"/>
  <c r="F22" i="4"/>
  <c r="F23" i="4"/>
  <c r="F24" i="4"/>
  <c r="F25" i="4"/>
  <c r="F26" i="4"/>
  <c r="F15" i="4"/>
  <c r="F16" i="3"/>
  <c r="F17" i="3"/>
  <c r="F18" i="3"/>
  <c r="F19" i="3"/>
  <c r="F20" i="3"/>
  <c r="F21" i="3"/>
  <c r="F22" i="3"/>
  <c r="F23" i="3"/>
  <c r="F24" i="3"/>
  <c r="F25" i="3"/>
  <c r="F26" i="3"/>
  <c r="F27" i="3"/>
  <c r="F15" i="3"/>
  <c r="F15" i="1"/>
  <c r="F16" i="1"/>
  <c r="F17" i="1"/>
  <c r="F18" i="1"/>
  <c r="F19" i="1"/>
  <c r="F20" i="1"/>
  <c r="F21" i="1"/>
  <c r="F22" i="1"/>
  <c r="F23" i="1"/>
  <c r="F24" i="1"/>
  <c r="F25" i="1"/>
</calcChain>
</file>

<file path=xl/sharedStrings.xml><?xml version="1.0" encoding="utf-8"?>
<sst xmlns="http://schemas.openxmlformats.org/spreadsheetml/2006/main" count="210" uniqueCount="99">
  <si>
    <t>Tabel 1</t>
  </si>
  <si>
    <t>No</t>
  </si>
  <si>
    <t>Nilai_Matematika</t>
  </si>
  <si>
    <t>Nilai_Bahasa</t>
  </si>
  <si>
    <t>Nilai_Inggris</t>
  </si>
  <si>
    <t>Jam_Belajar</t>
  </si>
  <si>
    <t>Kehadiran (%)</t>
  </si>
  <si>
    <t>Lulus (Label)</t>
  </si>
  <si>
    <t>Tabel 2</t>
  </si>
  <si>
    <t>Ulasan</t>
  </si>
  <si>
    <t>Panjang_Kalimat</t>
  </si>
  <si>
    <t>Ada_Kata_Pos</t>
  </si>
  <si>
    <t>Ada_Kata_Neg</t>
  </si>
  <si>
    <t>Sentimen (Label)</t>
  </si>
  <si>
    <t>Produk ini sangat bagus dan berkualitas</t>
  </si>
  <si>
    <t>Positif</t>
  </si>
  <si>
    <t>Barang jelek dan tidak sesuai harapan</t>
  </si>
  <si>
    <t>Negatif</t>
  </si>
  <si>
    <t>Sangat puas dengan pelayanan toko ini</t>
  </si>
  <si>
    <t>Pengiriman lambat dan barang rusak</t>
  </si>
  <si>
    <t>Harga murah tapi kualitas juga rendah</t>
  </si>
  <si>
    <t>Cepat, tepat, dan memuaskan</t>
  </si>
  <si>
    <t>Barang tidak berfungsi sama sekali</t>
  </si>
  <si>
    <t>Pelayanan luar biasa dan ramah</t>
  </si>
  <si>
    <t>Tidak akan beli lagi di sini</t>
  </si>
  <si>
    <t>Barang dikirim tepat waktu dan sesuai</t>
  </si>
  <si>
    <t>Tabel 3</t>
  </si>
  <si>
    <t>Umur</t>
  </si>
  <si>
    <t>Pendapatan (jt/bln)</t>
  </si>
  <si>
    <t>Lama_Pekerjaan (th)</t>
  </si>
  <si>
    <t>Jumlah_Pinjam (jt)</t>
  </si>
  <si>
    <t>Skor_Kredit</t>
  </si>
  <si>
    <t>Status_Kawin</t>
  </si>
  <si>
    <t>Default (Label)</t>
  </si>
  <si>
    <t>Belum Kawin</t>
  </si>
  <si>
    <t>Kawin</t>
  </si>
  <si>
    <t>Tabel 4</t>
  </si>
  <si>
    <t>IPK_Smt1</t>
  </si>
  <si>
    <t>IPK_Smt2</t>
  </si>
  <si>
    <t>Jam_Elearning</t>
  </si>
  <si>
    <t>Beasiswa</t>
  </si>
  <si>
    <t>Trend_IPK</t>
  </si>
  <si>
    <t>Dropout (Label)</t>
  </si>
  <si>
    <t>Tabel 5</t>
  </si>
  <si>
    <t>Usia</t>
  </si>
  <si>
    <t>Jenis_Kelamin</t>
  </si>
  <si>
    <t>Berat_Badan</t>
  </si>
  <si>
    <t>Riwayat_Merokok</t>
  </si>
  <si>
    <t>Kontak_TB</t>
  </si>
  <si>
    <t>Status_Vaksin_BCG</t>
  </si>
  <si>
    <t>Gejala_Batuk (hari)</t>
  </si>
  <si>
    <t>Hasil_Rontgen</t>
  </si>
  <si>
    <t>TB (Label)</t>
  </si>
  <si>
    <t>L</t>
  </si>
  <si>
    <t>Abnormal</t>
  </si>
  <si>
    <t>P</t>
  </si>
  <si>
    <t>Normal</t>
  </si>
  <si>
    <t>Total</t>
  </si>
  <si>
    <t>Entropy</t>
  </si>
  <si>
    <t>Gain</t>
  </si>
  <si>
    <t>Atribut</t>
  </si>
  <si>
    <t>Nilai</t>
  </si>
  <si>
    <t>Jumlah Data</t>
  </si>
  <si>
    <t>Default=1</t>
  </si>
  <si>
    <t>Default=0</t>
  </si>
  <si>
    <t>≤30</t>
  </si>
  <si>
    <t>&gt;30</t>
  </si>
  <si>
    <t>≤55</t>
  </si>
  <si>
    <t>&gt;55</t>
  </si>
  <si>
    <t>Gejala_Batuk</t>
  </si>
  <si>
    <t>≤10</t>
  </si>
  <si>
    <t>(hari)</t>
  </si>
  <si>
    <t>&gt;10</t>
  </si>
  <si>
    <t>≤3.0</t>
  </si>
  <si>
    <t>&gt;3.0</t>
  </si>
  <si>
    <t>≤75</t>
  </si>
  <si>
    <t>&gt;75</t>
  </si>
  <si>
    <t>≤6</t>
  </si>
  <si>
    <t>&gt;6</t>
  </si>
  <si>
    <t>≤0</t>
  </si>
  <si>
    <t>&gt;0</t>
  </si>
  <si>
    <t>≤32</t>
  </si>
  <si>
    <t>&gt;32</t>
  </si>
  <si>
    <t>Pendapatan</t>
  </si>
  <si>
    <t>(jt/bln)</t>
  </si>
  <si>
    <t>Lama_Pekerjaan</t>
  </si>
  <si>
    <t>≤5</t>
  </si>
  <si>
    <t>(th)</t>
  </si>
  <si>
    <t>&gt;5</t>
  </si>
  <si>
    <t>Jumlah_Pinjam</t>
  </si>
  <si>
    <t>(jt)</t>
  </si>
  <si>
    <t>≤700</t>
  </si>
  <si>
    <t>&gt;700</t>
  </si>
  <si>
    <t>≤70</t>
  </si>
  <si>
    <t>&gt;70</t>
  </si>
  <si>
    <t>≤7</t>
  </si>
  <si>
    <t>&gt;7</t>
  </si>
  <si>
    <t>≤85</t>
  </si>
  <si>
    <t>&gt;85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</si>
</sst>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2D92-D473-4418-BB2E-0684E50E9CD6}">
  <dimension ref="A1:O29"/>
  <sheetViews>
    <sheetView workbookViewId="0">
      <selection activeCell="A14" sqref="A14:G25"/>
    </sheetView>
  </sheetViews>
  <sheetFormatPr defaultRowHeight="15" x14ac:dyDescent="0.25"/>
  <cols>
    <col min="1" max="1" width="23.140625" customWidth="1"/>
    <col min="2" max="2" width="17.7109375" customWidth="1"/>
    <col min="3" max="3" width="14.28515625" customWidth="1"/>
    <col min="4" max="4" width="13.85546875" customWidth="1"/>
    <col min="5" max="5" width="14.85546875" customWidth="1"/>
    <col min="6" max="6" width="21.28515625" customWidth="1"/>
    <col min="7" max="7" width="13.28515625" customWidth="1"/>
    <col min="8" max="8" width="16.42578125" customWidth="1"/>
    <col min="9" max="9" width="15.140625" bestFit="1" customWidth="1"/>
    <col min="10" max="10" width="17.28515625" customWidth="1"/>
    <col min="11" max="11" width="10" customWidth="1"/>
    <col min="12" max="12" width="12.5703125" customWidth="1"/>
    <col min="13" max="13" width="14.7109375" customWidth="1"/>
    <col min="14" max="14" width="16" customWidth="1"/>
    <col min="15" max="15" width="10.140625" bestFit="1" customWidth="1"/>
  </cols>
  <sheetData>
    <row r="1" spans="1:15" ht="15.75" thickBot="1" x14ac:dyDescent="0.3">
      <c r="A1" t="s">
        <v>0</v>
      </c>
    </row>
    <row r="2" spans="1:15" ht="15.75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I2" s="7"/>
      <c r="J2" s="8"/>
      <c r="K2" s="7"/>
      <c r="L2" s="7"/>
      <c r="M2" s="7"/>
      <c r="N2" s="7"/>
      <c r="O2" s="7"/>
    </row>
    <row r="3" spans="1:15" ht="15.75" thickBot="1" x14ac:dyDescent="0.3">
      <c r="A3" s="1">
        <v>1</v>
      </c>
      <c r="B3" s="1">
        <v>85</v>
      </c>
      <c r="C3" s="1">
        <v>80</v>
      </c>
      <c r="D3" s="1">
        <v>88</v>
      </c>
      <c r="E3" s="1">
        <v>10</v>
      </c>
      <c r="F3" s="1">
        <v>95</v>
      </c>
      <c r="G3" s="1">
        <v>1</v>
      </c>
      <c r="I3" s="7"/>
      <c r="J3" s="8"/>
      <c r="K3" s="7"/>
      <c r="L3" s="7"/>
      <c r="M3" s="7"/>
      <c r="N3" s="7"/>
      <c r="O3" s="7"/>
    </row>
    <row r="4" spans="1:15" ht="15.75" thickBot="1" x14ac:dyDescent="0.3">
      <c r="A4" s="1">
        <v>2</v>
      </c>
      <c r="B4" s="1">
        <v>60</v>
      </c>
      <c r="C4" s="1">
        <v>55</v>
      </c>
      <c r="D4" s="1">
        <v>58</v>
      </c>
      <c r="E4" s="1">
        <v>4</v>
      </c>
      <c r="F4" s="1">
        <v>70</v>
      </c>
      <c r="G4" s="1">
        <v>0</v>
      </c>
      <c r="I4" s="9"/>
      <c r="J4" s="8"/>
      <c r="K4" s="7"/>
      <c r="L4" s="7"/>
      <c r="M4" s="7"/>
      <c r="N4" s="7"/>
      <c r="O4" s="7"/>
    </row>
    <row r="5" spans="1:15" ht="15.75" thickBot="1" x14ac:dyDescent="0.3">
      <c r="A5" s="1">
        <v>3</v>
      </c>
      <c r="B5" s="1">
        <v>78</v>
      </c>
      <c r="C5" s="1">
        <v>75</v>
      </c>
      <c r="D5" s="1">
        <v>80</v>
      </c>
      <c r="E5" s="1">
        <v>8</v>
      </c>
      <c r="F5" s="1">
        <v>90</v>
      </c>
      <c r="G5" s="1">
        <v>1</v>
      </c>
      <c r="I5" s="8"/>
      <c r="J5" s="7"/>
      <c r="K5" s="7"/>
      <c r="L5" s="7"/>
      <c r="M5" s="7"/>
      <c r="N5" s="7"/>
      <c r="O5" s="7"/>
    </row>
    <row r="6" spans="1:15" ht="15.75" thickBot="1" x14ac:dyDescent="0.3">
      <c r="A6" s="1">
        <v>4</v>
      </c>
      <c r="B6" s="1">
        <v>65</v>
      </c>
      <c r="C6" s="1">
        <v>60</v>
      </c>
      <c r="D6" s="1">
        <v>63</v>
      </c>
      <c r="E6" s="1">
        <v>5</v>
      </c>
      <c r="F6" s="1">
        <v>80</v>
      </c>
      <c r="G6" s="1">
        <v>0</v>
      </c>
      <c r="I6" s="8"/>
      <c r="J6" s="7"/>
      <c r="K6" s="7"/>
      <c r="L6" s="7"/>
      <c r="M6" s="7"/>
      <c r="N6" s="7"/>
      <c r="O6" s="7"/>
    </row>
    <row r="7" spans="1:15" ht="15.75" thickBot="1" x14ac:dyDescent="0.3">
      <c r="A7" s="1">
        <v>5</v>
      </c>
      <c r="B7" s="1">
        <v>90</v>
      </c>
      <c r="C7" s="1">
        <v>88</v>
      </c>
      <c r="D7" s="1">
        <v>85</v>
      </c>
      <c r="E7" s="1">
        <v>12</v>
      </c>
      <c r="F7" s="1">
        <v>98</v>
      </c>
      <c r="G7" s="1">
        <v>1</v>
      </c>
      <c r="I7" s="8"/>
      <c r="J7" s="7"/>
      <c r="K7" s="7"/>
      <c r="L7" s="7"/>
      <c r="M7" s="7"/>
      <c r="N7" s="7"/>
      <c r="O7" s="7"/>
    </row>
    <row r="8" spans="1:15" ht="15.75" thickBot="1" x14ac:dyDescent="0.3">
      <c r="A8" s="1">
        <v>6</v>
      </c>
      <c r="B8" s="1">
        <v>50</v>
      </c>
      <c r="C8" s="1">
        <v>55</v>
      </c>
      <c r="D8" s="1">
        <v>50</v>
      </c>
      <c r="E8" s="1">
        <v>3</v>
      </c>
      <c r="F8" s="1">
        <v>65</v>
      </c>
      <c r="G8" s="1">
        <v>0</v>
      </c>
      <c r="I8" s="7"/>
      <c r="J8" s="8"/>
      <c r="K8" s="7"/>
      <c r="L8" s="7"/>
      <c r="M8" s="7"/>
      <c r="N8" s="7"/>
      <c r="O8" s="7"/>
    </row>
    <row r="9" spans="1:15" ht="15.75" thickBot="1" x14ac:dyDescent="0.3">
      <c r="A9" s="1">
        <v>7</v>
      </c>
      <c r="B9" s="1">
        <v>72</v>
      </c>
      <c r="C9" s="1">
        <v>70</v>
      </c>
      <c r="D9" s="1">
        <v>68</v>
      </c>
      <c r="E9" s="1">
        <v>7</v>
      </c>
      <c r="F9" s="1">
        <v>88</v>
      </c>
      <c r="G9" s="1">
        <v>1</v>
      </c>
      <c r="I9" s="8"/>
      <c r="J9" s="7"/>
      <c r="K9" s="7"/>
      <c r="L9" s="7"/>
      <c r="M9" s="7"/>
      <c r="N9" s="7"/>
      <c r="O9" s="7"/>
    </row>
    <row r="10" spans="1:15" ht="15.75" thickBot="1" x14ac:dyDescent="0.3">
      <c r="A10" s="1">
        <v>8</v>
      </c>
      <c r="B10" s="1">
        <v>68</v>
      </c>
      <c r="C10" s="1">
        <v>65</v>
      </c>
      <c r="D10" s="1">
        <v>62</v>
      </c>
      <c r="E10" s="1">
        <v>5</v>
      </c>
      <c r="F10" s="1">
        <v>75</v>
      </c>
      <c r="G10" s="1">
        <v>0</v>
      </c>
      <c r="I10" s="8"/>
      <c r="J10" s="7"/>
      <c r="K10" s="7"/>
      <c r="L10" s="7"/>
      <c r="M10" s="7"/>
      <c r="N10" s="7"/>
      <c r="O10" s="7"/>
    </row>
    <row r="11" spans="1:15" ht="15.75" thickBot="1" x14ac:dyDescent="0.3">
      <c r="A11" s="1">
        <v>9</v>
      </c>
      <c r="B11" s="1">
        <v>82</v>
      </c>
      <c r="C11" s="1">
        <v>78</v>
      </c>
      <c r="D11" s="1">
        <v>80</v>
      </c>
      <c r="E11" s="1">
        <v>9</v>
      </c>
      <c r="F11" s="1">
        <v>92</v>
      </c>
      <c r="G11" s="1">
        <v>1</v>
      </c>
      <c r="I11" s="8"/>
      <c r="J11" s="7"/>
      <c r="K11" s="7"/>
      <c r="L11" s="7"/>
      <c r="M11" s="7"/>
      <c r="N11" s="10"/>
      <c r="O11" s="7"/>
    </row>
    <row r="12" spans="1:15" ht="15.75" thickBot="1" x14ac:dyDescent="0.3">
      <c r="A12" s="1">
        <v>10</v>
      </c>
      <c r="B12" s="1">
        <v>55</v>
      </c>
      <c r="C12" s="1">
        <v>60</v>
      </c>
      <c r="D12" s="1">
        <v>58</v>
      </c>
      <c r="E12" s="1">
        <v>4</v>
      </c>
      <c r="F12" s="1">
        <v>70</v>
      </c>
      <c r="G12" s="1">
        <v>0</v>
      </c>
      <c r="I12" s="7"/>
      <c r="J12" s="8"/>
      <c r="K12" s="7"/>
      <c r="L12" s="7"/>
      <c r="M12" s="7"/>
      <c r="N12" s="7"/>
      <c r="O12" s="7"/>
    </row>
    <row r="13" spans="1:15" x14ac:dyDescent="0.25">
      <c r="I13" s="8"/>
      <c r="J13" s="7"/>
      <c r="K13" s="7"/>
      <c r="L13" s="7"/>
      <c r="M13" s="7"/>
      <c r="N13" s="7"/>
      <c r="O13" s="7"/>
    </row>
    <row r="14" spans="1:15" x14ac:dyDescent="0.25">
      <c r="A14" s="11" t="s">
        <v>60</v>
      </c>
      <c r="B14" s="11" t="s">
        <v>61</v>
      </c>
      <c r="C14" s="11" t="s">
        <v>62</v>
      </c>
      <c r="D14" s="11" t="s">
        <v>63</v>
      </c>
      <c r="E14" s="11" t="s">
        <v>64</v>
      </c>
      <c r="F14" s="11" t="s">
        <v>58</v>
      </c>
      <c r="G14" s="11" t="s">
        <v>59</v>
      </c>
      <c r="I14" s="8"/>
      <c r="J14" s="7"/>
      <c r="K14" s="7"/>
      <c r="L14" s="7"/>
      <c r="M14" s="7"/>
      <c r="N14" s="7"/>
      <c r="O14" s="7"/>
    </row>
    <row r="15" spans="1:15" x14ac:dyDescent="0.25">
      <c r="A15" s="12" t="s">
        <v>2</v>
      </c>
      <c r="B15" s="12" t="s">
        <v>93</v>
      </c>
      <c r="C15" s="12">
        <v>5</v>
      </c>
      <c r="D15" s="12">
        <v>0</v>
      </c>
      <c r="E15" s="12">
        <v>5</v>
      </c>
      <c r="F15" s="12">
        <f>IF(D15=0,0,-(D15/C15)*LOG(D15/C15,2)) + IF(E15=0,0,-(E15/C15)*LOG(E15/C15,2))</f>
        <v>0</v>
      </c>
      <c r="G15" s="12">
        <f>($F$25)-((C15/$C$25)*F15)-((C16/$C$25)*F16)</f>
        <v>1</v>
      </c>
      <c r="I15" s="8"/>
      <c r="J15" s="7"/>
      <c r="K15" s="7"/>
      <c r="L15" s="7"/>
      <c r="M15" s="7"/>
      <c r="N15" s="10"/>
      <c r="O15" s="7"/>
    </row>
    <row r="16" spans="1:15" x14ac:dyDescent="0.25">
      <c r="A16" s="12"/>
      <c r="B16" s="12" t="s">
        <v>94</v>
      </c>
      <c r="C16" s="12">
        <v>5</v>
      </c>
      <c r="D16" s="12">
        <v>5</v>
      </c>
      <c r="E16" s="12">
        <v>0</v>
      </c>
      <c r="F16" s="12">
        <f t="shared" ref="F16:F25" si="0">IF(D16=0,0,-(D16/C16)*LOG(D16/C16,2)) + IF(E16=0,0,-(E16/C16)*LOG(E16/C16,2))</f>
        <v>0</v>
      </c>
      <c r="G16" s="12"/>
      <c r="I16" s="7"/>
      <c r="J16" s="8"/>
      <c r="K16" s="7"/>
      <c r="L16" s="7"/>
      <c r="M16" s="7"/>
      <c r="N16" s="7"/>
      <c r="O16" s="10"/>
    </row>
    <row r="17" spans="1:15" x14ac:dyDescent="0.25">
      <c r="A17" s="12" t="s">
        <v>3</v>
      </c>
      <c r="B17" s="12" t="s">
        <v>93</v>
      </c>
      <c r="C17" s="12">
        <v>5</v>
      </c>
      <c r="D17" s="12">
        <v>0</v>
      </c>
      <c r="E17" s="12">
        <v>5</v>
      </c>
      <c r="F17" s="12">
        <f t="shared" si="0"/>
        <v>0</v>
      </c>
      <c r="G17" s="12">
        <f t="shared" ref="G17:G23" si="1">($F$25)-((C17/$C$25)*F17)-((C18/$C$25)*F18)</f>
        <v>1</v>
      </c>
      <c r="I17" s="8"/>
      <c r="J17" s="7"/>
      <c r="K17" s="7"/>
      <c r="L17" s="7"/>
      <c r="M17" s="7"/>
      <c r="N17" s="7"/>
      <c r="O17" s="7"/>
    </row>
    <row r="18" spans="1:15" x14ac:dyDescent="0.25">
      <c r="A18" s="12"/>
      <c r="B18" s="12" t="s">
        <v>94</v>
      </c>
      <c r="C18" s="12">
        <v>5</v>
      </c>
      <c r="D18" s="12">
        <v>5</v>
      </c>
      <c r="E18" s="12">
        <v>0</v>
      </c>
      <c r="F18" s="12">
        <f t="shared" si="0"/>
        <v>0</v>
      </c>
      <c r="G18" s="12"/>
      <c r="I18" s="8"/>
      <c r="J18" s="7"/>
      <c r="K18" s="7"/>
      <c r="L18" s="7"/>
      <c r="M18" s="7"/>
      <c r="N18" s="10"/>
      <c r="O18" s="7"/>
    </row>
    <row r="19" spans="1:15" x14ac:dyDescent="0.25">
      <c r="A19" s="12" t="s">
        <v>4</v>
      </c>
      <c r="B19" s="12" t="s">
        <v>93</v>
      </c>
      <c r="C19" s="12">
        <v>5</v>
      </c>
      <c r="D19" s="12">
        <v>0</v>
      </c>
      <c r="E19" s="12">
        <v>5</v>
      </c>
      <c r="F19" s="12">
        <f t="shared" si="0"/>
        <v>0</v>
      </c>
      <c r="G19" s="12">
        <f t="shared" si="1"/>
        <v>1</v>
      </c>
      <c r="I19" s="8"/>
      <c r="J19" s="7"/>
      <c r="K19" s="7"/>
      <c r="L19" s="7"/>
      <c r="M19" s="7"/>
      <c r="N19" s="7"/>
      <c r="O19" s="7"/>
    </row>
    <row r="20" spans="1:15" x14ac:dyDescent="0.25">
      <c r="A20" s="12"/>
      <c r="B20" s="12" t="s">
        <v>94</v>
      </c>
      <c r="C20" s="12">
        <v>5</v>
      </c>
      <c r="D20" s="12">
        <v>5</v>
      </c>
      <c r="E20" s="12">
        <v>0</v>
      </c>
      <c r="F20" s="12">
        <f t="shared" si="0"/>
        <v>0</v>
      </c>
      <c r="G20" s="12"/>
      <c r="I20" s="7"/>
      <c r="J20" s="8"/>
      <c r="K20" s="7"/>
      <c r="L20" s="7"/>
      <c r="M20" s="7"/>
      <c r="N20" s="7"/>
      <c r="O20" s="10"/>
    </row>
    <row r="21" spans="1:15" x14ac:dyDescent="0.25">
      <c r="A21" s="12" t="s">
        <v>5</v>
      </c>
      <c r="B21" s="12" t="s">
        <v>95</v>
      </c>
      <c r="C21" s="12">
        <v>5</v>
      </c>
      <c r="D21" s="12">
        <v>0</v>
      </c>
      <c r="E21" s="12">
        <v>5</v>
      </c>
      <c r="F21" s="12">
        <f t="shared" si="0"/>
        <v>0</v>
      </c>
      <c r="G21" s="12">
        <f t="shared" si="1"/>
        <v>1</v>
      </c>
      <c r="I21" s="8"/>
      <c r="J21" s="7"/>
      <c r="K21" s="7"/>
      <c r="L21" s="7"/>
      <c r="M21" s="7"/>
      <c r="N21" s="7"/>
      <c r="O21" s="7"/>
    </row>
    <row r="22" spans="1:15" x14ac:dyDescent="0.25">
      <c r="A22" s="12"/>
      <c r="B22" s="12" t="s">
        <v>96</v>
      </c>
      <c r="C22" s="12">
        <v>5</v>
      </c>
      <c r="D22" s="12">
        <v>5</v>
      </c>
      <c r="E22" s="12">
        <v>0</v>
      </c>
      <c r="F22" s="12">
        <f t="shared" si="0"/>
        <v>0</v>
      </c>
      <c r="G22" s="12"/>
      <c r="I22" s="8"/>
      <c r="J22" s="7"/>
      <c r="K22" s="7"/>
      <c r="L22" s="7"/>
      <c r="M22" s="7"/>
      <c r="N22" s="10"/>
      <c r="O22" s="7"/>
    </row>
    <row r="23" spans="1:15" x14ac:dyDescent="0.25">
      <c r="A23" s="12" t="s">
        <v>6</v>
      </c>
      <c r="B23" s="12" t="s">
        <v>97</v>
      </c>
      <c r="C23" s="12">
        <v>5</v>
      </c>
      <c r="D23" s="12">
        <v>0</v>
      </c>
      <c r="E23" s="12">
        <v>5</v>
      </c>
      <c r="F23" s="12">
        <f t="shared" si="0"/>
        <v>0</v>
      </c>
      <c r="G23" s="12">
        <f t="shared" si="1"/>
        <v>1</v>
      </c>
      <c r="I23" s="8"/>
      <c r="J23" s="7"/>
      <c r="K23" s="7"/>
      <c r="L23" s="7"/>
      <c r="M23" s="7"/>
      <c r="N23" s="7"/>
      <c r="O23" s="7"/>
    </row>
    <row r="24" spans="1:15" x14ac:dyDescent="0.25">
      <c r="A24" s="12"/>
      <c r="B24" s="12" t="s">
        <v>98</v>
      </c>
      <c r="C24" s="12">
        <v>5</v>
      </c>
      <c r="D24" s="12">
        <v>5</v>
      </c>
      <c r="E24" s="12">
        <v>0</v>
      </c>
      <c r="F24" s="12">
        <f t="shared" si="0"/>
        <v>0</v>
      </c>
      <c r="G24" s="12"/>
    </row>
    <row r="25" spans="1:15" ht="15.75" x14ac:dyDescent="0.25">
      <c r="A25" s="15" t="s">
        <v>57</v>
      </c>
      <c r="B25" s="15"/>
      <c r="C25" s="15">
        <v>10</v>
      </c>
      <c r="D25" s="15">
        <v>5</v>
      </c>
      <c r="E25" s="15">
        <v>5</v>
      </c>
      <c r="F25" s="12">
        <f t="shared" si="0"/>
        <v>1</v>
      </c>
      <c r="G25" s="12"/>
    </row>
    <row r="26" spans="1:15" ht="15.75" x14ac:dyDescent="0.25">
      <c r="A26" s="14"/>
      <c r="B26" s="13"/>
      <c r="C26" s="13"/>
      <c r="D26" s="13"/>
      <c r="E26" s="13"/>
      <c r="F26" s="13"/>
    </row>
    <row r="27" spans="1:15" ht="15.75" x14ac:dyDescent="0.25">
      <c r="A27" s="13"/>
      <c r="B27" s="13"/>
      <c r="C27" s="13"/>
      <c r="D27" s="13"/>
      <c r="E27" s="13"/>
      <c r="F27" s="13"/>
    </row>
    <row r="28" spans="1:15" ht="15.75" x14ac:dyDescent="0.25">
      <c r="A28" s="13"/>
      <c r="B28" s="13"/>
      <c r="C28" s="13"/>
      <c r="D28" s="13"/>
      <c r="E28" s="13"/>
      <c r="F28" s="13"/>
    </row>
    <row r="29" spans="1:15" ht="15.75" x14ac:dyDescent="0.25">
      <c r="A29" s="13"/>
      <c r="B29" s="13"/>
      <c r="C29" s="13"/>
      <c r="D29" s="13"/>
      <c r="E29" s="13"/>
      <c r="F29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0C0C-9FF7-4ACD-9969-58C31DF3350D}">
  <dimension ref="A1:I21"/>
  <sheetViews>
    <sheetView workbookViewId="0">
      <selection activeCell="G21" sqref="G21"/>
    </sheetView>
  </sheetViews>
  <sheetFormatPr defaultRowHeight="15" x14ac:dyDescent="0.25"/>
  <cols>
    <col min="1" max="1" width="16.28515625" customWidth="1"/>
    <col min="4" max="4" width="18.28515625" customWidth="1"/>
    <col min="6" max="6" width="10.5703125" bestFit="1" customWidth="1"/>
    <col min="7" max="7" width="17" customWidth="1"/>
    <col min="8" max="8" width="17.7109375" customWidth="1"/>
    <col min="9" max="9" width="18.85546875" customWidth="1"/>
  </cols>
  <sheetData>
    <row r="1" spans="1:9" x14ac:dyDescent="0.25">
      <c r="A1" s="5" t="s">
        <v>8</v>
      </c>
      <c r="B1" s="5"/>
      <c r="C1" s="5"/>
      <c r="D1" s="5"/>
      <c r="E1" s="5"/>
      <c r="F1" s="5"/>
      <c r="G1" s="5"/>
      <c r="H1" s="5"/>
      <c r="I1" s="5"/>
    </row>
    <row r="2" spans="1:9" ht="25.5" x14ac:dyDescent="0.25">
      <c r="A2" s="2" t="s">
        <v>1</v>
      </c>
      <c r="B2" s="17" t="s">
        <v>9</v>
      </c>
      <c r="C2" s="17"/>
      <c r="D2" s="17"/>
      <c r="E2" s="17" t="s">
        <v>10</v>
      </c>
      <c r="F2" s="17"/>
      <c r="G2" s="2" t="s">
        <v>11</v>
      </c>
      <c r="H2" s="2" t="s">
        <v>12</v>
      </c>
      <c r="I2" s="3" t="s">
        <v>13</v>
      </c>
    </row>
    <row r="3" spans="1:9" x14ac:dyDescent="0.25">
      <c r="A3" s="2">
        <v>1</v>
      </c>
      <c r="B3" s="17" t="s">
        <v>14</v>
      </c>
      <c r="C3" s="17"/>
      <c r="D3" s="17"/>
      <c r="E3" s="17">
        <v>6</v>
      </c>
      <c r="F3" s="17"/>
      <c r="G3" s="2">
        <v>1</v>
      </c>
      <c r="H3" s="2">
        <v>0</v>
      </c>
      <c r="I3" s="2" t="s">
        <v>15</v>
      </c>
    </row>
    <row r="4" spans="1:9" x14ac:dyDescent="0.25">
      <c r="A4" s="2">
        <v>2</v>
      </c>
      <c r="B4" s="17" t="s">
        <v>16</v>
      </c>
      <c r="C4" s="17"/>
      <c r="D4" s="17"/>
      <c r="E4" s="17">
        <v>6</v>
      </c>
      <c r="F4" s="17"/>
      <c r="G4" s="2">
        <v>0</v>
      </c>
      <c r="H4" s="2">
        <v>1</v>
      </c>
      <c r="I4" s="2" t="s">
        <v>17</v>
      </c>
    </row>
    <row r="5" spans="1:9" x14ac:dyDescent="0.25">
      <c r="A5" s="2">
        <v>3</v>
      </c>
      <c r="B5" s="17" t="s">
        <v>18</v>
      </c>
      <c r="C5" s="17"/>
      <c r="D5" s="17"/>
      <c r="E5" s="17">
        <v>6</v>
      </c>
      <c r="F5" s="17"/>
      <c r="G5" s="2">
        <v>1</v>
      </c>
      <c r="H5" s="2">
        <v>0</v>
      </c>
      <c r="I5" s="2" t="s">
        <v>15</v>
      </c>
    </row>
    <row r="6" spans="1:9" x14ac:dyDescent="0.25">
      <c r="A6" s="2">
        <v>4</v>
      </c>
      <c r="B6" s="17" t="s">
        <v>19</v>
      </c>
      <c r="C6" s="17"/>
      <c r="D6" s="17"/>
      <c r="E6" s="17">
        <v>5</v>
      </c>
      <c r="F6" s="17"/>
      <c r="G6" s="2">
        <v>0</v>
      </c>
      <c r="H6" s="2">
        <v>1</v>
      </c>
      <c r="I6" s="2" t="s">
        <v>17</v>
      </c>
    </row>
    <row r="7" spans="1:9" x14ac:dyDescent="0.25">
      <c r="A7" s="2">
        <v>5</v>
      </c>
      <c r="B7" s="17" t="s">
        <v>20</v>
      </c>
      <c r="C7" s="17"/>
      <c r="D7" s="17"/>
      <c r="E7" s="17">
        <v>6</v>
      </c>
      <c r="F7" s="17"/>
      <c r="G7" s="2">
        <v>1</v>
      </c>
      <c r="H7" s="2">
        <v>1</v>
      </c>
      <c r="I7" s="2" t="s">
        <v>17</v>
      </c>
    </row>
    <row r="8" spans="1:9" x14ac:dyDescent="0.25">
      <c r="A8" s="2">
        <v>6</v>
      </c>
      <c r="B8" s="17" t="s">
        <v>21</v>
      </c>
      <c r="C8" s="17"/>
      <c r="D8" s="17"/>
      <c r="E8" s="17">
        <v>4</v>
      </c>
      <c r="F8" s="17"/>
      <c r="G8" s="2">
        <v>1</v>
      </c>
      <c r="H8" s="2">
        <v>0</v>
      </c>
      <c r="I8" s="2" t="s">
        <v>15</v>
      </c>
    </row>
    <row r="9" spans="1:9" x14ac:dyDescent="0.25">
      <c r="A9" s="2">
        <v>7</v>
      </c>
      <c r="B9" s="17" t="s">
        <v>22</v>
      </c>
      <c r="C9" s="17"/>
      <c r="D9" s="17"/>
      <c r="E9" s="17">
        <v>5</v>
      </c>
      <c r="F9" s="17"/>
      <c r="G9" s="2">
        <v>0</v>
      </c>
      <c r="H9" s="2">
        <v>1</v>
      </c>
      <c r="I9" s="2" t="s">
        <v>17</v>
      </c>
    </row>
    <row r="10" spans="1:9" x14ac:dyDescent="0.25">
      <c r="A10" s="2">
        <v>8</v>
      </c>
      <c r="B10" s="17" t="s">
        <v>23</v>
      </c>
      <c r="C10" s="17"/>
      <c r="D10" s="17"/>
      <c r="E10" s="17">
        <v>5</v>
      </c>
      <c r="F10" s="17"/>
      <c r="G10" s="2">
        <v>1</v>
      </c>
      <c r="H10" s="2">
        <v>0</v>
      </c>
      <c r="I10" s="2" t="s">
        <v>15</v>
      </c>
    </row>
    <row r="11" spans="1:9" x14ac:dyDescent="0.25">
      <c r="A11" s="2">
        <v>9</v>
      </c>
      <c r="B11" s="17" t="s">
        <v>24</v>
      </c>
      <c r="C11" s="17"/>
      <c r="D11" s="17"/>
      <c r="E11" s="17">
        <v>6</v>
      </c>
      <c r="F11" s="17"/>
      <c r="G11" s="2">
        <v>0</v>
      </c>
      <c r="H11" s="2">
        <v>1</v>
      </c>
      <c r="I11" s="2" t="s">
        <v>17</v>
      </c>
    </row>
    <row r="12" spans="1:9" x14ac:dyDescent="0.25">
      <c r="A12" s="2">
        <v>10</v>
      </c>
      <c r="B12" s="17" t="s">
        <v>25</v>
      </c>
      <c r="C12" s="17"/>
      <c r="D12" s="17"/>
      <c r="E12" s="17">
        <v>7</v>
      </c>
      <c r="F12" s="17"/>
      <c r="G12" s="2">
        <v>1</v>
      </c>
      <c r="H12" s="2">
        <v>0</v>
      </c>
      <c r="I12" s="2" t="s">
        <v>15</v>
      </c>
    </row>
    <row r="14" spans="1:9" ht="30" x14ac:dyDescent="0.25">
      <c r="A14" s="11" t="s">
        <v>60</v>
      </c>
      <c r="B14" s="11" t="s">
        <v>61</v>
      </c>
      <c r="C14" s="11" t="s">
        <v>62</v>
      </c>
      <c r="D14" s="11" t="s">
        <v>63</v>
      </c>
      <c r="E14" s="11" t="s">
        <v>64</v>
      </c>
      <c r="F14" s="11" t="s">
        <v>58</v>
      </c>
      <c r="G14" s="11" t="s">
        <v>59</v>
      </c>
    </row>
    <row r="15" spans="1:9" x14ac:dyDescent="0.25">
      <c r="A15" s="12" t="s">
        <v>10</v>
      </c>
      <c r="B15" s="12" t="s">
        <v>77</v>
      </c>
      <c r="C15" s="12">
        <v>9</v>
      </c>
      <c r="D15" s="12">
        <v>5</v>
      </c>
      <c r="E15" s="12">
        <v>4</v>
      </c>
      <c r="F15" s="12">
        <f>IF(D15=0,0,-(D15/C15)*LOG(D15/C15,2)) + IF(E15=0,0,-(E15/C15)*LOG(E15/C15,2))</f>
        <v>0.99107605983822222</v>
      </c>
      <c r="G15" s="12">
        <f>($F$21)-((C15/$C$21)*F15)-((C16/$C$21)*F16)</f>
        <v>0.10803154614559995</v>
      </c>
    </row>
    <row r="16" spans="1:9" x14ac:dyDescent="0.25">
      <c r="A16" s="12"/>
      <c r="B16" s="12" t="s">
        <v>78</v>
      </c>
      <c r="C16" s="12">
        <v>1</v>
      </c>
      <c r="D16" s="12">
        <v>1</v>
      </c>
      <c r="E16" s="12">
        <v>0</v>
      </c>
      <c r="F16" s="12">
        <f t="shared" ref="F16:F21" si="0">IF(D16=0,0,-(D16/C16)*LOG(D16/C16,2)) + IF(E16=0,0,-(E16/C16)*LOG(E16/C16,2))</f>
        <v>0</v>
      </c>
      <c r="G16" s="12"/>
    </row>
    <row r="17" spans="1:7" x14ac:dyDescent="0.25">
      <c r="A17" s="12" t="s">
        <v>11</v>
      </c>
      <c r="B17" s="12">
        <v>0</v>
      </c>
      <c r="C17" s="12">
        <v>4</v>
      </c>
      <c r="D17" s="12">
        <v>0</v>
      </c>
      <c r="E17" s="12">
        <v>4</v>
      </c>
      <c r="F17" s="12">
        <f t="shared" si="0"/>
        <v>0</v>
      </c>
      <c r="G17" s="12">
        <f t="shared" ref="G17:G19" si="1">($F$21)-((C17/$C$21)*F17)-((C18/$C$21)*F18)</f>
        <v>1</v>
      </c>
    </row>
    <row r="18" spans="1:7" x14ac:dyDescent="0.25">
      <c r="A18" s="12"/>
      <c r="B18" s="12">
        <v>1</v>
      </c>
      <c r="C18" s="12">
        <v>6</v>
      </c>
      <c r="D18" s="12">
        <v>6</v>
      </c>
      <c r="E18" s="12">
        <v>0</v>
      </c>
      <c r="F18" s="12">
        <f t="shared" si="0"/>
        <v>0</v>
      </c>
      <c r="G18" s="12"/>
    </row>
    <row r="19" spans="1:7" x14ac:dyDescent="0.25">
      <c r="A19" s="12" t="s">
        <v>12</v>
      </c>
      <c r="B19" s="12">
        <v>0</v>
      </c>
      <c r="C19" s="12">
        <v>5</v>
      </c>
      <c r="D19" s="12">
        <v>5</v>
      </c>
      <c r="E19" s="12">
        <v>0</v>
      </c>
      <c r="F19" s="12">
        <f t="shared" si="0"/>
        <v>0</v>
      </c>
      <c r="G19" s="12">
        <f t="shared" si="1"/>
        <v>1</v>
      </c>
    </row>
    <row r="20" spans="1:7" x14ac:dyDescent="0.25">
      <c r="A20" s="12"/>
      <c r="B20" s="12">
        <v>1</v>
      </c>
      <c r="C20" s="12">
        <v>5</v>
      </c>
      <c r="D20" s="12">
        <v>0</v>
      </c>
      <c r="E20" s="12">
        <v>5</v>
      </c>
      <c r="F20" s="12">
        <f t="shared" si="0"/>
        <v>0</v>
      </c>
      <c r="G20" s="12"/>
    </row>
    <row r="21" spans="1:7" x14ac:dyDescent="0.25">
      <c r="A21" s="6" t="s">
        <v>57</v>
      </c>
      <c r="B21" s="6"/>
      <c r="C21" s="16">
        <v>10</v>
      </c>
      <c r="D21" s="16">
        <v>5</v>
      </c>
      <c r="E21" s="16">
        <v>5</v>
      </c>
      <c r="F21" s="12">
        <f t="shared" si="0"/>
        <v>1</v>
      </c>
      <c r="G21" s="12"/>
    </row>
  </sheetData>
  <mergeCells count="22">
    <mergeCell ref="E11:F11"/>
    <mergeCell ref="E12:F12"/>
    <mergeCell ref="E6:F6"/>
    <mergeCell ref="E7:F7"/>
    <mergeCell ref="E8:F8"/>
    <mergeCell ref="E9:F9"/>
    <mergeCell ref="E10:F10"/>
    <mergeCell ref="B2:D2"/>
    <mergeCell ref="E2:F2"/>
    <mergeCell ref="E3:F3"/>
    <mergeCell ref="E4:F4"/>
    <mergeCell ref="E5:F5"/>
    <mergeCell ref="B8:D8"/>
    <mergeCell ref="B9:D9"/>
    <mergeCell ref="B10:D10"/>
    <mergeCell ref="B11:D11"/>
    <mergeCell ref="B12:D12"/>
    <mergeCell ref="B3:D3"/>
    <mergeCell ref="B4:D4"/>
    <mergeCell ref="B5:D5"/>
    <mergeCell ref="B6:D6"/>
    <mergeCell ref="B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55EA-D006-4E60-97ED-205BEFBD50C4}">
  <dimension ref="A1:H27"/>
  <sheetViews>
    <sheetView workbookViewId="0">
      <selection activeCell="D24" sqref="D24"/>
    </sheetView>
  </sheetViews>
  <sheetFormatPr defaultRowHeight="15" x14ac:dyDescent="0.25"/>
  <cols>
    <col min="3" max="3" width="23.5703125" customWidth="1"/>
    <col min="4" max="4" width="21.85546875" customWidth="1"/>
    <col min="5" max="5" width="20.5703125" customWidth="1"/>
    <col min="6" max="6" width="15.42578125" customWidth="1"/>
    <col min="7" max="7" width="13.140625" customWidth="1"/>
    <col min="8" max="8" width="13.28515625" customWidth="1"/>
  </cols>
  <sheetData>
    <row r="1" spans="1:8" ht="15.75" thickBot="1" x14ac:dyDescent="0.3">
      <c r="A1" s="4" t="s">
        <v>26</v>
      </c>
      <c r="B1" s="4"/>
      <c r="C1" s="4"/>
      <c r="D1" s="4"/>
      <c r="E1" s="4"/>
      <c r="F1" s="4"/>
      <c r="G1" s="4"/>
      <c r="H1" s="4"/>
    </row>
    <row r="2" spans="1:8" ht="26.25" thickBot="1" x14ac:dyDescent="0.3">
      <c r="A2" s="1" t="s">
        <v>1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</row>
    <row r="3" spans="1:8" ht="26.25" thickBot="1" x14ac:dyDescent="0.3">
      <c r="A3" s="1">
        <v>1</v>
      </c>
      <c r="B3" s="1">
        <v>25</v>
      </c>
      <c r="C3" s="1">
        <v>3.5</v>
      </c>
      <c r="D3" s="1">
        <v>1</v>
      </c>
      <c r="E3" s="1">
        <v>15</v>
      </c>
      <c r="F3" s="1">
        <v>620</v>
      </c>
      <c r="G3" s="1" t="s">
        <v>34</v>
      </c>
      <c r="H3" s="1">
        <v>1</v>
      </c>
    </row>
    <row r="4" spans="1:8" ht="15.75" thickBot="1" x14ac:dyDescent="0.3">
      <c r="A4" s="1">
        <v>2</v>
      </c>
      <c r="B4" s="1">
        <v>45</v>
      </c>
      <c r="C4" s="1">
        <v>10</v>
      </c>
      <c r="D4" s="1">
        <v>10</v>
      </c>
      <c r="E4" s="1">
        <v>50</v>
      </c>
      <c r="F4" s="1">
        <v>780</v>
      </c>
      <c r="G4" s="1" t="s">
        <v>35</v>
      </c>
      <c r="H4" s="1">
        <v>0</v>
      </c>
    </row>
    <row r="5" spans="1:8" ht="26.25" thickBot="1" x14ac:dyDescent="0.3">
      <c r="A5" s="1">
        <v>3</v>
      </c>
      <c r="B5" s="1">
        <v>32</v>
      </c>
      <c r="C5" s="1">
        <v>4</v>
      </c>
      <c r="D5" s="1">
        <v>3</v>
      </c>
      <c r="E5" s="1">
        <v>20</v>
      </c>
      <c r="F5" s="1">
        <v>640</v>
      </c>
      <c r="G5" s="1" t="s">
        <v>34</v>
      </c>
      <c r="H5" s="1">
        <v>1</v>
      </c>
    </row>
    <row r="6" spans="1:8" ht="15.75" thickBot="1" x14ac:dyDescent="0.3">
      <c r="A6" s="1">
        <v>4</v>
      </c>
      <c r="B6" s="1">
        <v>28</v>
      </c>
      <c r="C6" s="1">
        <v>5</v>
      </c>
      <c r="D6" s="1">
        <v>2</v>
      </c>
      <c r="E6" s="1">
        <v>10</v>
      </c>
      <c r="F6" s="1">
        <v>700</v>
      </c>
      <c r="G6" s="1" t="s">
        <v>35</v>
      </c>
      <c r="H6" s="1">
        <v>0</v>
      </c>
    </row>
    <row r="7" spans="1:8" ht="15.75" thickBot="1" x14ac:dyDescent="0.3">
      <c r="A7" s="1">
        <v>5</v>
      </c>
      <c r="B7" s="1">
        <v>50</v>
      </c>
      <c r="C7" s="1">
        <v>12</v>
      </c>
      <c r="D7" s="1">
        <v>15</v>
      </c>
      <c r="E7" s="1">
        <v>60</v>
      </c>
      <c r="F7" s="1">
        <v>800</v>
      </c>
      <c r="G7" s="1" t="s">
        <v>35</v>
      </c>
      <c r="H7" s="1">
        <v>0</v>
      </c>
    </row>
    <row r="8" spans="1:8" ht="15.75" thickBot="1" x14ac:dyDescent="0.3">
      <c r="A8" s="1">
        <v>6</v>
      </c>
      <c r="B8" s="1">
        <v>38</v>
      </c>
      <c r="C8" s="1">
        <v>6.5</v>
      </c>
      <c r="D8" s="1">
        <v>8</v>
      </c>
      <c r="E8" s="1">
        <v>40</v>
      </c>
      <c r="F8" s="1">
        <v>720</v>
      </c>
      <c r="G8" s="1" t="s">
        <v>35</v>
      </c>
      <c r="H8" s="1">
        <v>0</v>
      </c>
    </row>
    <row r="9" spans="1:8" ht="26.25" thickBot="1" x14ac:dyDescent="0.3">
      <c r="A9" s="1">
        <v>7</v>
      </c>
      <c r="B9" s="1">
        <v>23</v>
      </c>
      <c r="C9" s="1">
        <v>2.8</v>
      </c>
      <c r="D9" s="1">
        <v>0</v>
      </c>
      <c r="E9" s="1">
        <v>12</v>
      </c>
      <c r="F9" s="1">
        <v>600</v>
      </c>
      <c r="G9" s="1" t="s">
        <v>34</v>
      </c>
      <c r="H9" s="1">
        <v>1</v>
      </c>
    </row>
    <row r="10" spans="1:8" ht="15.75" thickBot="1" x14ac:dyDescent="0.3">
      <c r="A10" s="1">
        <v>8</v>
      </c>
      <c r="B10" s="1">
        <v>35</v>
      </c>
      <c r="C10" s="1">
        <v>7</v>
      </c>
      <c r="D10" s="1">
        <v>5</v>
      </c>
      <c r="E10" s="1">
        <v>30</v>
      </c>
      <c r="F10" s="1">
        <v>740</v>
      </c>
      <c r="G10" s="1" t="s">
        <v>35</v>
      </c>
      <c r="H10" s="1">
        <v>0</v>
      </c>
    </row>
    <row r="11" spans="1:8" ht="26.25" thickBot="1" x14ac:dyDescent="0.3">
      <c r="A11" s="1">
        <v>9</v>
      </c>
      <c r="B11" s="1">
        <v>29</v>
      </c>
      <c r="C11" s="1">
        <v>4.5</v>
      </c>
      <c r="D11" s="1">
        <v>2</v>
      </c>
      <c r="E11" s="1">
        <v>25</v>
      </c>
      <c r="F11" s="1">
        <v>650</v>
      </c>
      <c r="G11" s="1" t="s">
        <v>34</v>
      </c>
      <c r="H11" s="1">
        <v>1</v>
      </c>
    </row>
    <row r="12" spans="1:8" ht="15.75" thickBot="1" x14ac:dyDescent="0.3">
      <c r="A12" s="1">
        <v>10</v>
      </c>
      <c r="B12" s="1">
        <v>41</v>
      </c>
      <c r="C12" s="1">
        <v>9</v>
      </c>
      <c r="D12" s="1">
        <v>9</v>
      </c>
      <c r="E12" s="1">
        <v>45</v>
      </c>
      <c r="F12" s="1">
        <v>760</v>
      </c>
      <c r="G12" s="1" t="s">
        <v>35</v>
      </c>
      <c r="H12" s="1">
        <v>0</v>
      </c>
    </row>
    <row r="14" spans="1:8" x14ac:dyDescent="0.25">
      <c r="A14" s="11" t="s">
        <v>60</v>
      </c>
      <c r="B14" s="11" t="s">
        <v>61</v>
      </c>
      <c r="C14" s="11" t="s">
        <v>62</v>
      </c>
      <c r="D14" s="11" t="s">
        <v>63</v>
      </c>
      <c r="E14" s="11" t="s">
        <v>64</v>
      </c>
      <c r="F14" s="11" t="s">
        <v>58</v>
      </c>
      <c r="G14" s="11" t="s">
        <v>59</v>
      </c>
    </row>
    <row r="15" spans="1:8" x14ac:dyDescent="0.25">
      <c r="A15" s="12" t="s">
        <v>27</v>
      </c>
      <c r="B15" s="12" t="s">
        <v>81</v>
      </c>
      <c r="C15" s="12">
        <v>5</v>
      </c>
      <c r="D15" s="12">
        <v>4</v>
      </c>
      <c r="E15" s="12">
        <v>1</v>
      </c>
      <c r="F15" s="12">
        <f>IF(D15=0,0,-(D15/C15)*LOG(D15/C15,2)) + IF(E15=0,0,-(E15/C15)*LOG(E15/C15,2))</f>
        <v>0.72192809488736231</v>
      </c>
      <c r="G15" s="12">
        <f>($F$27)-((C15/$C$27)*F15)-((C16/$C$27)*F16)</f>
        <v>0.24902249956730627</v>
      </c>
    </row>
    <row r="16" spans="1:8" x14ac:dyDescent="0.25">
      <c r="A16" s="12"/>
      <c r="B16" s="12" t="s">
        <v>82</v>
      </c>
      <c r="C16" s="12">
        <v>5</v>
      </c>
      <c r="D16" s="12">
        <v>1</v>
      </c>
      <c r="E16" s="12">
        <v>4</v>
      </c>
      <c r="F16" s="12">
        <f t="shared" ref="F16:F27" si="0">IF(D16=0,0,-(D16/C16)*LOG(D16/C16,2)) + IF(E16=0,0,-(E16/C16)*LOG(E16/C16,2))</f>
        <v>0.72192809488736231</v>
      </c>
      <c r="G16" s="12"/>
    </row>
    <row r="17" spans="1:7" ht="30" x14ac:dyDescent="0.25">
      <c r="A17" s="12" t="s">
        <v>83</v>
      </c>
      <c r="B17" s="12" t="s">
        <v>77</v>
      </c>
      <c r="C17" s="12">
        <v>5</v>
      </c>
      <c r="D17" s="12">
        <v>4</v>
      </c>
      <c r="E17" s="12">
        <v>1</v>
      </c>
      <c r="F17" s="12">
        <f t="shared" si="0"/>
        <v>0.72192809488736231</v>
      </c>
      <c r="G17" s="12">
        <f t="shared" ref="G17:G25" si="1">($F$27)-((C17/$C$27)*F17)-((C18/$C$27)*F18)</f>
        <v>0.24902249956730627</v>
      </c>
    </row>
    <row r="18" spans="1:7" x14ac:dyDescent="0.25">
      <c r="A18" s="12" t="s">
        <v>84</v>
      </c>
      <c r="B18" s="12" t="s">
        <v>78</v>
      </c>
      <c r="C18" s="12">
        <v>5</v>
      </c>
      <c r="D18" s="12">
        <v>1</v>
      </c>
      <c r="E18" s="12">
        <v>4</v>
      </c>
      <c r="F18" s="12">
        <f t="shared" si="0"/>
        <v>0.72192809488736231</v>
      </c>
      <c r="G18" s="12"/>
    </row>
    <row r="19" spans="1:7" ht="30" x14ac:dyDescent="0.25">
      <c r="A19" s="12" t="s">
        <v>85</v>
      </c>
      <c r="B19" s="12" t="s">
        <v>86</v>
      </c>
      <c r="C19" s="12">
        <v>6</v>
      </c>
      <c r="D19" s="12">
        <v>4</v>
      </c>
      <c r="E19" s="12">
        <v>2</v>
      </c>
      <c r="F19" s="12">
        <f t="shared" si="0"/>
        <v>0.91829583405448956</v>
      </c>
      <c r="G19" s="12">
        <f t="shared" si="1"/>
        <v>9.5461844238321769E-2</v>
      </c>
    </row>
    <row r="20" spans="1:7" x14ac:dyDescent="0.25">
      <c r="A20" s="12" t="s">
        <v>87</v>
      </c>
      <c r="B20" s="12" t="s">
        <v>88</v>
      </c>
      <c r="C20" s="12">
        <v>4</v>
      </c>
      <c r="D20" s="12">
        <v>1</v>
      </c>
      <c r="E20" s="12">
        <v>3</v>
      </c>
      <c r="F20" s="12">
        <f t="shared" si="0"/>
        <v>0.81127812445913283</v>
      </c>
      <c r="G20" s="12"/>
    </row>
    <row r="21" spans="1:7" ht="30" x14ac:dyDescent="0.25">
      <c r="A21" s="12" t="s">
        <v>89</v>
      </c>
      <c r="B21" s="12" t="s">
        <v>65</v>
      </c>
      <c r="C21" s="12">
        <v>6</v>
      </c>
      <c r="D21" s="12">
        <v>4</v>
      </c>
      <c r="E21" s="12">
        <v>2</v>
      </c>
      <c r="F21" s="12">
        <f t="shared" si="0"/>
        <v>0.91829583405448956</v>
      </c>
      <c r="G21" s="12">
        <f t="shared" si="1"/>
        <v>9.5461844238321769E-2</v>
      </c>
    </row>
    <row r="22" spans="1:7" x14ac:dyDescent="0.25">
      <c r="A22" s="12" t="s">
        <v>90</v>
      </c>
      <c r="B22" s="12" t="s">
        <v>66</v>
      </c>
      <c r="C22" s="12">
        <v>4</v>
      </c>
      <c r="D22" s="12">
        <v>1</v>
      </c>
      <c r="E22" s="12">
        <v>3</v>
      </c>
      <c r="F22" s="12">
        <f t="shared" si="0"/>
        <v>0.81127812445913283</v>
      </c>
      <c r="G22" s="12"/>
    </row>
    <row r="23" spans="1:7" ht="30" x14ac:dyDescent="0.25">
      <c r="A23" s="12" t="s">
        <v>31</v>
      </c>
      <c r="B23" s="12" t="s">
        <v>91</v>
      </c>
      <c r="C23" s="12">
        <v>5</v>
      </c>
      <c r="D23" s="12">
        <v>4</v>
      </c>
      <c r="E23" s="12">
        <v>1</v>
      </c>
      <c r="F23" s="12">
        <f t="shared" si="0"/>
        <v>0.72192809488736231</v>
      </c>
      <c r="G23" s="12">
        <f t="shared" si="1"/>
        <v>0.24902249956730627</v>
      </c>
    </row>
    <row r="24" spans="1:7" x14ac:dyDescent="0.25">
      <c r="A24" s="12"/>
      <c r="B24" s="12" t="s">
        <v>92</v>
      </c>
      <c r="C24" s="12">
        <v>5</v>
      </c>
      <c r="D24" s="12">
        <v>1</v>
      </c>
      <c r="E24" s="12">
        <v>4</v>
      </c>
      <c r="F24" s="12">
        <f t="shared" si="0"/>
        <v>0.72192809488736231</v>
      </c>
      <c r="G24" s="12"/>
    </row>
    <row r="25" spans="1:7" ht="30" x14ac:dyDescent="0.25">
      <c r="A25" s="12" t="s">
        <v>32</v>
      </c>
      <c r="B25" s="12" t="s">
        <v>34</v>
      </c>
      <c r="C25" s="12">
        <v>5</v>
      </c>
      <c r="D25" s="12">
        <v>4</v>
      </c>
      <c r="E25" s="12">
        <v>1</v>
      </c>
      <c r="F25" s="12">
        <f t="shared" si="0"/>
        <v>0.72192809488736231</v>
      </c>
      <c r="G25" s="12">
        <f t="shared" si="1"/>
        <v>0.24902249956730627</v>
      </c>
    </row>
    <row r="26" spans="1:7" x14ac:dyDescent="0.25">
      <c r="A26" s="12"/>
      <c r="B26" s="12" t="s">
        <v>35</v>
      </c>
      <c r="C26" s="12">
        <v>5</v>
      </c>
      <c r="D26" s="12">
        <v>1</v>
      </c>
      <c r="E26" s="12">
        <v>4</v>
      </c>
      <c r="F26" s="12">
        <f t="shared" si="0"/>
        <v>0.72192809488736231</v>
      </c>
      <c r="G26" s="12"/>
    </row>
    <row r="27" spans="1:7" x14ac:dyDescent="0.25">
      <c r="A27" s="16" t="s">
        <v>57</v>
      </c>
      <c r="B27" s="6"/>
      <c r="C27" s="16">
        <v>10</v>
      </c>
      <c r="D27" s="16">
        <v>4</v>
      </c>
      <c r="E27" s="16">
        <v>6</v>
      </c>
      <c r="F27" s="12">
        <f t="shared" si="0"/>
        <v>0.97095059445466858</v>
      </c>
      <c r="G27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A7A6-0ED9-4341-83C9-14037E2202B5}">
  <dimension ref="A1:H27"/>
  <sheetViews>
    <sheetView workbookViewId="0">
      <selection activeCell="D34" sqref="D34"/>
    </sheetView>
  </sheetViews>
  <sheetFormatPr defaultRowHeight="15" x14ac:dyDescent="0.25"/>
  <cols>
    <col min="1" max="1" width="15.85546875" customWidth="1"/>
    <col min="2" max="2" width="13.140625" customWidth="1"/>
    <col min="3" max="4" width="15.5703125" customWidth="1"/>
    <col min="5" max="5" width="14.85546875" customWidth="1"/>
    <col min="6" max="6" width="12.28515625" customWidth="1"/>
    <col min="7" max="7" width="12" customWidth="1"/>
    <col min="8" max="8" width="13.5703125" customWidth="1"/>
  </cols>
  <sheetData>
    <row r="1" spans="1:8" x14ac:dyDescent="0.25">
      <c r="A1" t="s">
        <v>36</v>
      </c>
    </row>
    <row r="2" spans="1:8" ht="25.5" x14ac:dyDescent="0.25">
      <c r="A2" s="2" t="s">
        <v>1</v>
      </c>
      <c r="B2" s="2" t="s">
        <v>37</v>
      </c>
      <c r="C2" s="2" t="s">
        <v>38</v>
      </c>
      <c r="D2" s="2" t="s">
        <v>6</v>
      </c>
      <c r="E2" s="2" t="s">
        <v>39</v>
      </c>
      <c r="F2" s="2" t="s">
        <v>40</v>
      </c>
      <c r="G2" s="2" t="s">
        <v>41</v>
      </c>
      <c r="H2" s="2" t="s">
        <v>42</v>
      </c>
    </row>
    <row r="3" spans="1:8" x14ac:dyDescent="0.25">
      <c r="A3" s="2">
        <v>1</v>
      </c>
      <c r="B3" s="2">
        <v>3.2</v>
      </c>
      <c r="C3" s="2">
        <v>3.25</v>
      </c>
      <c r="D3" s="2">
        <v>95</v>
      </c>
      <c r="E3" s="2">
        <v>10</v>
      </c>
      <c r="F3" s="2">
        <v>1</v>
      </c>
      <c r="G3" s="2">
        <v>0.05</v>
      </c>
      <c r="H3" s="2">
        <v>0</v>
      </c>
    </row>
    <row r="4" spans="1:8" x14ac:dyDescent="0.25">
      <c r="A4" s="2">
        <v>2</v>
      </c>
      <c r="B4" s="2">
        <v>2.5</v>
      </c>
      <c r="C4" s="2">
        <v>2.1</v>
      </c>
      <c r="D4" s="2">
        <v>65</v>
      </c>
      <c r="E4" s="2">
        <v>3</v>
      </c>
      <c r="F4" s="2">
        <v>0</v>
      </c>
      <c r="G4" s="2">
        <v>-0.4</v>
      </c>
      <c r="H4" s="2">
        <v>1</v>
      </c>
    </row>
    <row r="5" spans="1:8" x14ac:dyDescent="0.25">
      <c r="A5" s="2">
        <v>3</v>
      </c>
      <c r="B5" s="2">
        <v>3</v>
      </c>
      <c r="C5" s="2">
        <v>3.1</v>
      </c>
      <c r="D5" s="2">
        <v>88</v>
      </c>
      <c r="E5" s="2">
        <v>9</v>
      </c>
      <c r="F5" s="2">
        <v>1</v>
      </c>
      <c r="G5" s="2">
        <v>0.1</v>
      </c>
      <c r="H5" s="2">
        <v>0</v>
      </c>
    </row>
    <row r="6" spans="1:8" x14ac:dyDescent="0.25">
      <c r="A6" s="2">
        <v>4</v>
      </c>
      <c r="B6" s="2">
        <v>2.7</v>
      </c>
      <c r="C6" s="2">
        <v>2.4</v>
      </c>
      <c r="D6" s="2">
        <v>70</v>
      </c>
      <c r="E6" s="2">
        <v>4</v>
      </c>
      <c r="F6" s="2">
        <v>0</v>
      </c>
      <c r="G6" s="2">
        <v>-0.3</v>
      </c>
      <c r="H6" s="2">
        <v>1</v>
      </c>
    </row>
    <row r="7" spans="1:8" x14ac:dyDescent="0.25">
      <c r="A7" s="2">
        <v>5</v>
      </c>
      <c r="B7" s="2">
        <v>3.4</v>
      </c>
      <c r="C7" s="2">
        <v>3.5</v>
      </c>
      <c r="D7" s="2">
        <v>92</v>
      </c>
      <c r="E7" s="2">
        <v>12</v>
      </c>
      <c r="F7" s="2">
        <v>1</v>
      </c>
      <c r="G7" s="2">
        <v>0.1</v>
      </c>
      <c r="H7" s="2">
        <v>0</v>
      </c>
    </row>
    <row r="8" spans="1:8" x14ac:dyDescent="0.25">
      <c r="A8" s="2">
        <v>6</v>
      </c>
      <c r="B8" s="2">
        <v>2.8</v>
      </c>
      <c r="C8" s="2">
        <v>2.6</v>
      </c>
      <c r="D8" s="2">
        <v>75</v>
      </c>
      <c r="E8" s="2">
        <v>6</v>
      </c>
      <c r="F8" s="2">
        <v>0</v>
      </c>
      <c r="G8" s="2">
        <v>-0.2</v>
      </c>
      <c r="H8" s="2">
        <v>1</v>
      </c>
    </row>
    <row r="9" spans="1:8" x14ac:dyDescent="0.25">
      <c r="A9" s="2">
        <v>7</v>
      </c>
      <c r="B9" s="2">
        <v>3.1</v>
      </c>
      <c r="C9" s="2">
        <v>3</v>
      </c>
      <c r="D9" s="2">
        <v>85</v>
      </c>
      <c r="E9" s="2">
        <v>8</v>
      </c>
      <c r="F9" s="2">
        <v>1</v>
      </c>
      <c r="G9" s="2">
        <v>-0.1</v>
      </c>
      <c r="H9" s="2">
        <v>0</v>
      </c>
    </row>
    <row r="10" spans="1:8" x14ac:dyDescent="0.25">
      <c r="A10" s="2">
        <v>8</v>
      </c>
      <c r="B10" s="2">
        <v>2.4</v>
      </c>
      <c r="C10" s="2">
        <v>2.2000000000000002</v>
      </c>
      <c r="D10" s="2">
        <v>60</v>
      </c>
      <c r="E10" s="2">
        <v>2</v>
      </c>
      <c r="F10" s="2">
        <v>0</v>
      </c>
      <c r="G10" s="2">
        <v>-0.2</v>
      </c>
      <c r="H10" s="2">
        <v>1</v>
      </c>
    </row>
    <row r="11" spans="1:8" x14ac:dyDescent="0.25">
      <c r="A11" s="2">
        <v>9</v>
      </c>
      <c r="B11" s="2">
        <v>3.6</v>
      </c>
      <c r="C11" s="2">
        <v>3.7</v>
      </c>
      <c r="D11" s="2">
        <v>98</v>
      </c>
      <c r="E11" s="2">
        <v>14</v>
      </c>
      <c r="F11" s="2">
        <v>1</v>
      </c>
      <c r="G11" s="2">
        <v>0.1</v>
      </c>
      <c r="H11" s="2">
        <v>0</v>
      </c>
    </row>
    <row r="12" spans="1:8" x14ac:dyDescent="0.25">
      <c r="A12" s="2">
        <v>10</v>
      </c>
      <c r="B12" s="2">
        <v>2.5</v>
      </c>
      <c r="C12" s="2">
        <v>2.1</v>
      </c>
      <c r="D12" s="2">
        <v>68</v>
      </c>
      <c r="E12" s="2">
        <v>3</v>
      </c>
      <c r="F12" s="2">
        <v>0</v>
      </c>
      <c r="G12" s="2">
        <v>-0.4</v>
      </c>
      <c r="H12" s="2">
        <v>1</v>
      </c>
    </row>
    <row r="14" spans="1:8" x14ac:dyDescent="0.25">
      <c r="A14" s="11" t="s">
        <v>60</v>
      </c>
      <c r="B14" s="11" t="s">
        <v>61</v>
      </c>
      <c r="C14" s="11" t="s">
        <v>62</v>
      </c>
      <c r="D14" s="11" t="s">
        <v>63</v>
      </c>
      <c r="E14" s="11" t="s">
        <v>64</v>
      </c>
      <c r="F14" s="11" t="s">
        <v>58</v>
      </c>
      <c r="G14" s="11" t="s">
        <v>59</v>
      </c>
    </row>
    <row r="15" spans="1:8" x14ac:dyDescent="0.25">
      <c r="A15" s="12" t="s">
        <v>37</v>
      </c>
      <c r="B15" s="12" t="s">
        <v>73</v>
      </c>
      <c r="C15" s="12">
        <v>6</v>
      </c>
      <c r="D15" s="12">
        <v>5</v>
      </c>
      <c r="E15" s="12">
        <v>1</v>
      </c>
      <c r="F15" s="12">
        <f>IF(D15=0,0,-(D15/C15)*LOG(D15/C15,2)) + IF(E15=0,0,-(E15/C15)*LOG(E15/C15,2))</f>
        <v>0.65002242164835411</v>
      </c>
      <c r="G15" s="12">
        <f>($F$27)-((C15/$C$27)*F15)-((C16/$C$27)*F16)</f>
        <v>0.60998654701098753</v>
      </c>
    </row>
    <row r="16" spans="1:8" x14ac:dyDescent="0.25">
      <c r="A16" s="12"/>
      <c r="B16" s="12" t="s">
        <v>74</v>
      </c>
      <c r="C16" s="12">
        <v>4</v>
      </c>
      <c r="D16" s="12">
        <v>0</v>
      </c>
      <c r="E16" s="12">
        <v>4</v>
      </c>
      <c r="F16" s="12">
        <f t="shared" ref="F16:F26" si="0">IF(D16=0,0,-(D16/C16)*LOG(D16/C16,2)) + IF(E16=0,0,-(E16/C16)*LOG(E16/C16,2))</f>
        <v>0</v>
      </c>
      <c r="G16" s="12"/>
    </row>
    <row r="17" spans="1:7" x14ac:dyDescent="0.25">
      <c r="A17" s="12" t="s">
        <v>38</v>
      </c>
      <c r="B17" s="12" t="s">
        <v>73</v>
      </c>
      <c r="C17" s="12">
        <v>6</v>
      </c>
      <c r="D17" s="12">
        <v>5</v>
      </c>
      <c r="E17" s="12">
        <v>1</v>
      </c>
      <c r="F17" s="12">
        <f t="shared" si="0"/>
        <v>0.65002242164835411</v>
      </c>
      <c r="G17" s="12">
        <f t="shared" ref="G17:G25" si="1">($F$27)-((C17/$C$27)*F17)-((C18/$C$27)*F18)</f>
        <v>0.60998654701098753</v>
      </c>
    </row>
    <row r="18" spans="1:7" x14ac:dyDescent="0.25">
      <c r="A18" s="12"/>
      <c r="B18" s="12" t="s">
        <v>74</v>
      </c>
      <c r="C18" s="12">
        <v>4</v>
      </c>
      <c r="D18" s="12">
        <v>0</v>
      </c>
      <c r="E18" s="12">
        <v>4</v>
      </c>
      <c r="F18" s="12">
        <f t="shared" si="0"/>
        <v>0</v>
      </c>
      <c r="G18" s="12"/>
    </row>
    <row r="19" spans="1:7" x14ac:dyDescent="0.25">
      <c r="A19" s="12" t="s">
        <v>6</v>
      </c>
      <c r="B19" s="12" t="s">
        <v>75</v>
      </c>
      <c r="C19" s="12">
        <v>6</v>
      </c>
      <c r="D19" s="12">
        <v>5</v>
      </c>
      <c r="E19" s="12">
        <v>1</v>
      </c>
      <c r="F19" s="12">
        <f t="shared" si="0"/>
        <v>0.65002242164835411</v>
      </c>
      <c r="G19" s="12">
        <f t="shared" si="1"/>
        <v>0.60998654701098753</v>
      </c>
    </row>
    <row r="20" spans="1:7" x14ac:dyDescent="0.25">
      <c r="A20" s="12"/>
      <c r="B20" s="12" t="s">
        <v>76</v>
      </c>
      <c r="C20" s="12">
        <v>4</v>
      </c>
      <c r="D20" s="12">
        <v>0</v>
      </c>
      <c r="E20" s="12">
        <v>4</v>
      </c>
      <c r="F20" s="12">
        <f t="shared" si="0"/>
        <v>0</v>
      </c>
      <c r="G20" s="12"/>
    </row>
    <row r="21" spans="1:7" x14ac:dyDescent="0.25">
      <c r="A21" s="12" t="s">
        <v>39</v>
      </c>
      <c r="B21" s="12" t="s">
        <v>77</v>
      </c>
      <c r="C21" s="12">
        <v>6</v>
      </c>
      <c r="D21" s="12">
        <v>5</v>
      </c>
      <c r="E21" s="12">
        <v>1</v>
      </c>
      <c r="F21" s="12">
        <f t="shared" si="0"/>
        <v>0.65002242164835411</v>
      </c>
      <c r="G21" s="12">
        <f t="shared" si="1"/>
        <v>0.60998654701098753</v>
      </c>
    </row>
    <row r="22" spans="1:7" x14ac:dyDescent="0.25">
      <c r="A22" s="12"/>
      <c r="B22" s="12" t="s">
        <v>78</v>
      </c>
      <c r="C22" s="12">
        <v>4</v>
      </c>
      <c r="D22" s="12">
        <v>0</v>
      </c>
      <c r="E22" s="12">
        <v>4</v>
      </c>
      <c r="F22" s="12">
        <f t="shared" si="0"/>
        <v>0</v>
      </c>
      <c r="G22" s="12"/>
    </row>
    <row r="23" spans="1:7" x14ac:dyDescent="0.25">
      <c r="A23" s="12" t="s">
        <v>40</v>
      </c>
      <c r="B23" s="12">
        <v>0</v>
      </c>
      <c r="C23" s="12">
        <v>5</v>
      </c>
      <c r="D23" s="12">
        <v>5</v>
      </c>
      <c r="E23" s="12">
        <v>0</v>
      </c>
      <c r="F23" s="12">
        <f t="shared" si="0"/>
        <v>0</v>
      </c>
      <c r="G23" s="12">
        <f t="shared" si="1"/>
        <v>1</v>
      </c>
    </row>
    <row r="24" spans="1:7" x14ac:dyDescent="0.25">
      <c r="A24" s="12"/>
      <c r="B24" s="12">
        <v>1</v>
      </c>
      <c r="C24" s="12">
        <v>5</v>
      </c>
      <c r="D24" s="12">
        <v>0</v>
      </c>
      <c r="E24" s="12">
        <v>5</v>
      </c>
      <c r="F24" s="12">
        <f t="shared" si="0"/>
        <v>0</v>
      </c>
      <c r="G24" s="12"/>
    </row>
    <row r="25" spans="1:7" x14ac:dyDescent="0.25">
      <c r="A25" s="12" t="s">
        <v>41</v>
      </c>
      <c r="B25" s="12" t="s">
        <v>79</v>
      </c>
      <c r="C25" s="12">
        <v>6</v>
      </c>
      <c r="D25" s="12">
        <v>5</v>
      </c>
      <c r="E25" s="12">
        <v>1</v>
      </c>
      <c r="F25" s="12">
        <f t="shared" si="0"/>
        <v>0.65002242164835411</v>
      </c>
      <c r="G25" s="12">
        <f t="shared" si="1"/>
        <v>0.60998654701098753</v>
      </c>
    </row>
    <row r="26" spans="1:7" x14ac:dyDescent="0.25">
      <c r="A26" s="12"/>
      <c r="B26" s="12" t="s">
        <v>80</v>
      </c>
      <c r="C26" s="12">
        <v>4</v>
      </c>
      <c r="D26" s="12">
        <v>0</v>
      </c>
      <c r="E26" s="12">
        <v>4</v>
      </c>
      <c r="F26" s="12">
        <f t="shared" si="0"/>
        <v>0</v>
      </c>
      <c r="G26" s="12"/>
    </row>
    <row r="27" spans="1:7" x14ac:dyDescent="0.25">
      <c r="A27" s="6" t="s">
        <v>57</v>
      </c>
      <c r="B27" s="6"/>
      <c r="C27" s="16">
        <v>10</v>
      </c>
      <c r="D27" s="16">
        <v>5</v>
      </c>
      <c r="E27" s="16">
        <v>5</v>
      </c>
      <c r="F27" s="12">
        <f>IF(D27=0,0,-(D27/C27)*LOG(D27/C27,2)) + IF(E27=0,0,-(E27/C27)*LOG(E27/C27,2))</f>
        <v>1</v>
      </c>
      <c r="G27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C38BA-6F6C-45E6-A9EE-479549857848}">
  <dimension ref="A1:J31"/>
  <sheetViews>
    <sheetView tabSelected="1" workbookViewId="0">
      <selection activeCell="G16" sqref="G16"/>
    </sheetView>
  </sheetViews>
  <sheetFormatPr defaultRowHeight="15" x14ac:dyDescent="0.25"/>
  <cols>
    <col min="1" max="1" width="19.5703125" customWidth="1"/>
    <col min="2" max="2" width="12.7109375" customWidth="1"/>
    <col min="3" max="3" width="19.28515625" customWidth="1"/>
    <col min="4" max="4" width="14.7109375" customWidth="1"/>
    <col min="5" max="5" width="17.28515625" customWidth="1"/>
    <col min="6" max="6" width="14.140625" customWidth="1"/>
    <col min="7" max="7" width="15.28515625" customWidth="1"/>
    <col min="8" max="8" width="14.85546875" customWidth="1"/>
    <col min="9" max="9" width="13.140625" customWidth="1"/>
  </cols>
  <sheetData>
    <row r="1" spans="1:10" x14ac:dyDescent="0.25">
      <c r="A1" s="5" t="s">
        <v>43</v>
      </c>
      <c r="B1" s="5"/>
      <c r="C1" s="5"/>
      <c r="D1" s="5"/>
      <c r="E1" s="5"/>
      <c r="F1" s="5"/>
      <c r="G1" s="5"/>
      <c r="H1" s="5"/>
      <c r="I1" s="5"/>
      <c r="J1" s="5"/>
    </row>
    <row r="2" spans="1:10" ht="25.5" x14ac:dyDescent="0.25">
      <c r="A2" s="2" t="s">
        <v>1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</row>
    <row r="3" spans="1:10" x14ac:dyDescent="0.25">
      <c r="A3" s="2">
        <v>1</v>
      </c>
      <c r="B3" s="2">
        <v>25</v>
      </c>
      <c r="C3" s="2" t="s">
        <v>53</v>
      </c>
      <c r="D3" s="2">
        <v>55</v>
      </c>
      <c r="E3" s="2">
        <v>1</v>
      </c>
      <c r="F3" s="2">
        <v>1</v>
      </c>
      <c r="G3" s="2">
        <v>0</v>
      </c>
      <c r="H3" s="2">
        <v>14</v>
      </c>
      <c r="I3" s="2" t="s">
        <v>54</v>
      </c>
      <c r="J3" s="2">
        <v>1</v>
      </c>
    </row>
    <row r="4" spans="1:10" x14ac:dyDescent="0.25">
      <c r="A4" s="2">
        <v>2</v>
      </c>
      <c r="B4" s="2">
        <v>40</v>
      </c>
      <c r="C4" s="2" t="s">
        <v>55</v>
      </c>
      <c r="D4" s="2">
        <v>70</v>
      </c>
      <c r="E4" s="2">
        <v>0</v>
      </c>
      <c r="F4" s="2">
        <v>0</v>
      </c>
      <c r="G4" s="2">
        <v>1</v>
      </c>
      <c r="H4" s="2">
        <v>3</v>
      </c>
      <c r="I4" s="2" t="s">
        <v>56</v>
      </c>
      <c r="J4" s="2">
        <v>0</v>
      </c>
    </row>
    <row r="5" spans="1:10" x14ac:dyDescent="0.25">
      <c r="A5" s="2">
        <v>3</v>
      </c>
      <c r="B5" s="2">
        <v>33</v>
      </c>
      <c r="C5" s="2" t="s">
        <v>53</v>
      </c>
      <c r="D5" s="2">
        <v>48</v>
      </c>
      <c r="E5" s="2">
        <v>1</v>
      </c>
      <c r="F5" s="2">
        <v>1</v>
      </c>
      <c r="G5" s="2">
        <v>0</v>
      </c>
      <c r="H5" s="2">
        <v>10</v>
      </c>
      <c r="I5" s="2" t="s">
        <v>54</v>
      </c>
      <c r="J5" s="2">
        <v>1</v>
      </c>
    </row>
    <row r="6" spans="1:10" x14ac:dyDescent="0.25">
      <c r="A6" s="2">
        <v>4</v>
      </c>
      <c r="B6" s="2">
        <v>19</v>
      </c>
      <c r="C6" s="2" t="s">
        <v>55</v>
      </c>
      <c r="D6" s="2">
        <v>45</v>
      </c>
      <c r="E6" s="2">
        <v>0</v>
      </c>
      <c r="F6" s="2">
        <v>0</v>
      </c>
      <c r="G6" s="2">
        <v>1</v>
      </c>
      <c r="H6" s="2">
        <v>2</v>
      </c>
      <c r="I6" s="2" t="s">
        <v>56</v>
      </c>
      <c r="J6" s="2">
        <v>0</v>
      </c>
    </row>
    <row r="7" spans="1:10" x14ac:dyDescent="0.25">
      <c r="A7" s="2">
        <v>5</v>
      </c>
      <c r="B7" s="2">
        <v>60</v>
      </c>
      <c r="C7" s="2" t="s">
        <v>53</v>
      </c>
      <c r="D7" s="2">
        <v>50</v>
      </c>
      <c r="E7" s="2">
        <v>1</v>
      </c>
      <c r="F7" s="2">
        <v>1</v>
      </c>
      <c r="G7" s="2">
        <v>0</v>
      </c>
      <c r="H7" s="2">
        <v>20</v>
      </c>
      <c r="I7" s="2" t="s">
        <v>54</v>
      </c>
      <c r="J7" s="2">
        <v>1</v>
      </c>
    </row>
    <row r="8" spans="1:10" x14ac:dyDescent="0.25">
      <c r="A8" s="2">
        <v>6</v>
      </c>
      <c r="B8" s="2">
        <v>28</v>
      </c>
      <c r="C8" s="2" t="s">
        <v>53</v>
      </c>
      <c r="D8" s="2">
        <v>68</v>
      </c>
      <c r="E8" s="2">
        <v>0</v>
      </c>
      <c r="F8" s="2">
        <v>0</v>
      </c>
      <c r="G8" s="2">
        <v>1</v>
      </c>
      <c r="H8" s="2">
        <v>1</v>
      </c>
      <c r="I8" s="2" t="s">
        <v>56</v>
      </c>
      <c r="J8" s="2">
        <v>0</v>
      </c>
    </row>
    <row r="9" spans="1:10" x14ac:dyDescent="0.25">
      <c r="A9" s="2">
        <v>7</v>
      </c>
      <c r="B9" s="2">
        <v>35</v>
      </c>
      <c r="C9" s="2" t="s">
        <v>55</v>
      </c>
      <c r="D9" s="2">
        <v>52</v>
      </c>
      <c r="E9" s="2">
        <v>0</v>
      </c>
      <c r="F9" s="2">
        <v>1</v>
      </c>
      <c r="G9" s="2">
        <v>0</v>
      </c>
      <c r="H9" s="2">
        <v>12</v>
      </c>
      <c r="I9" s="2" t="s">
        <v>54</v>
      </c>
      <c r="J9" s="2">
        <v>1</v>
      </c>
    </row>
    <row r="10" spans="1:10" x14ac:dyDescent="0.25">
      <c r="A10" s="2">
        <v>8</v>
      </c>
      <c r="B10" s="2">
        <v>42</v>
      </c>
      <c r="C10" s="2" t="s">
        <v>53</v>
      </c>
      <c r="D10" s="2">
        <v>75</v>
      </c>
      <c r="E10" s="2">
        <v>1</v>
      </c>
      <c r="F10" s="2">
        <v>0</v>
      </c>
      <c r="G10" s="2">
        <v>1</v>
      </c>
      <c r="H10" s="2">
        <v>4</v>
      </c>
      <c r="I10" s="2" t="s">
        <v>56</v>
      </c>
      <c r="J10" s="2">
        <v>0</v>
      </c>
    </row>
    <row r="11" spans="1:10" x14ac:dyDescent="0.25">
      <c r="A11" s="2">
        <v>9</v>
      </c>
      <c r="B11" s="2">
        <v>23</v>
      </c>
      <c r="C11" s="2" t="s">
        <v>55</v>
      </c>
      <c r="D11" s="2">
        <v>46</v>
      </c>
      <c r="E11" s="2">
        <v>0</v>
      </c>
      <c r="F11" s="2">
        <v>1</v>
      </c>
      <c r="G11" s="2">
        <v>0</v>
      </c>
      <c r="H11" s="2">
        <v>15</v>
      </c>
      <c r="I11" s="2" t="s">
        <v>54</v>
      </c>
      <c r="J11" s="2">
        <v>1</v>
      </c>
    </row>
    <row r="12" spans="1:10" x14ac:dyDescent="0.25">
      <c r="A12" s="2">
        <v>10</v>
      </c>
      <c r="B12" s="2">
        <v>51</v>
      </c>
      <c r="C12" s="2" t="s">
        <v>53</v>
      </c>
      <c r="D12" s="2">
        <v>70</v>
      </c>
      <c r="E12" s="2">
        <v>1</v>
      </c>
      <c r="F12" s="2">
        <v>1</v>
      </c>
      <c r="G12" s="2">
        <v>0</v>
      </c>
      <c r="H12" s="2">
        <v>8</v>
      </c>
      <c r="I12" s="2" t="s">
        <v>54</v>
      </c>
      <c r="J12" s="2">
        <v>1</v>
      </c>
    </row>
    <row r="14" spans="1:10" x14ac:dyDescent="0.25">
      <c r="A14" s="11" t="s">
        <v>60</v>
      </c>
      <c r="B14" s="11" t="s">
        <v>61</v>
      </c>
      <c r="C14" s="11" t="s">
        <v>62</v>
      </c>
      <c r="D14" s="11" t="s">
        <v>63</v>
      </c>
      <c r="E14" s="11" t="s">
        <v>64</v>
      </c>
      <c r="F14" s="11" t="s">
        <v>58</v>
      </c>
      <c r="G14" s="11" t="s">
        <v>59</v>
      </c>
    </row>
    <row r="15" spans="1:10" x14ac:dyDescent="0.25">
      <c r="A15" s="12" t="s">
        <v>44</v>
      </c>
      <c r="B15" s="12" t="s">
        <v>65</v>
      </c>
      <c r="C15" s="12">
        <v>5</v>
      </c>
      <c r="D15" s="12">
        <v>2</v>
      </c>
      <c r="E15" s="12">
        <v>3</v>
      </c>
      <c r="F15" s="12">
        <f>IF(D15=0,0,-(D15/C15)*LOG(D15/C15,2)) + IF(E15=0,0,-(E15/C15)*LOG(E15/C15,2))</f>
        <v>0.97095059445466858</v>
      </c>
      <c r="G15" s="12">
        <f>(F31)-((C15/C31)*F15)-((C16/C31)*F16)</f>
        <v>0.48547529722733429</v>
      </c>
    </row>
    <row r="16" spans="1:10" x14ac:dyDescent="0.25">
      <c r="A16" s="12"/>
      <c r="B16" s="12" t="s">
        <v>66</v>
      </c>
      <c r="C16" s="12">
        <v>5</v>
      </c>
      <c r="D16" s="12">
        <v>5</v>
      </c>
      <c r="E16" s="12">
        <v>0</v>
      </c>
      <c r="F16" s="12">
        <f t="shared" ref="F16:F30" si="0">IF(D16=0,0,-(D16/C16)*LOG(D16/C16,2)) + IF(E16=0,0,-(E16/C16)*LOG(E16/C16,2))</f>
        <v>0</v>
      </c>
      <c r="G16" s="12"/>
    </row>
    <row r="17" spans="1:7" x14ac:dyDescent="0.25">
      <c r="A17" s="12" t="s">
        <v>45</v>
      </c>
      <c r="B17" s="12" t="s">
        <v>53</v>
      </c>
      <c r="C17" s="12">
        <v>5</v>
      </c>
      <c r="D17" s="12">
        <v>4</v>
      </c>
      <c r="E17" s="12">
        <v>1</v>
      </c>
      <c r="F17" s="12">
        <f t="shared" si="0"/>
        <v>0.72192809488736231</v>
      </c>
      <c r="G17" s="12">
        <f>(F31)-((C17/C31)*F17)-((C18/C31)*F18)</f>
        <v>0.12451124978365313</v>
      </c>
    </row>
    <row r="18" spans="1:7" x14ac:dyDescent="0.25">
      <c r="A18" s="12"/>
      <c r="B18" s="12" t="s">
        <v>55</v>
      </c>
      <c r="C18" s="12">
        <v>5</v>
      </c>
      <c r="D18" s="12">
        <v>3</v>
      </c>
      <c r="E18" s="12">
        <v>2</v>
      </c>
      <c r="F18" s="12">
        <f t="shared" si="0"/>
        <v>0.97095059445466858</v>
      </c>
      <c r="G18" s="12"/>
    </row>
    <row r="19" spans="1:7" x14ac:dyDescent="0.25">
      <c r="A19" s="12" t="s">
        <v>46</v>
      </c>
      <c r="B19" s="12" t="s">
        <v>67</v>
      </c>
      <c r="C19" s="12">
        <v>6</v>
      </c>
      <c r="D19" s="12">
        <v>5</v>
      </c>
      <c r="E19" s="12">
        <v>1</v>
      </c>
      <c r="F19" s="12">
        <f t="shared" si="0"/>
        <v>0.65002242164835411</v>
      </c>
      <c r="G19" s="12">
        <f>(F31)-((C19/C31)*F19)-((C20/C31)*F20)</f>
        <v>0.18093714146565609</v>
      </c>
    </row>
    <row r="20" spans="1:7" x14ac:dyDescent="0.25">
      <c r="A20" s="12"/>
      <c r="B20" s="12" t="s">
        <v>68</v>
      </c>
      <c r="C20" s="12">
        <v>4</v>
      </c>
      <c r="D20" s="12">
        <v>2</v>
      </c>
      <c r="E20" s="12">
        <v>2</v>
      </c>
      <c r="F20" s="12">
        <f t="shared" si="0"/>
        <v>1</v>
      </c>
      <c r="G20" s="12"/>
    </row>
    <row r="21" spans="1:7" x14ac:dyDescent="0.25">
      <c r="A21" s="12" t="s">
        <v>47</v>
      </c>
      <c r="B21" s="12">
        <v>0</v>
      </c>
      <c r="C21" s="12">
        <v>5</v>
      </c>
      <c r="D21" s="12">
        <v>1</v>
      </c>
      <c r="E21" s="12">
        <v>4</v>
      </c>
      <c r="F21" s="12">
        <f t="shared" si="0"/>
        <v>0.72192809488736231</v>
      </c>
      <c r="G21" s="12">
        <f>(F31)-((C21/C31)*F21)-((C22/C31)*F22)</f>
        <v>0.24902249956730627</v>
      </c>
    </row>
    <row r="22" spans="1:7" x14ac:dyDescent="0.25">
      <c r="A22" s="12"/>
      <c r="B22" s="12">
        <v>1</v>
      </c>
      <c r="C22" s="12">
        <v>5</v>
      </c>
      <c r="D22" s="12">
        <v>4</v>
      </c>
      <c r="E22" s="12">
        <v>1</v>
      </c>
      <c r="F22" s="12">
        <f t="shared" si="0"/>
        <v>0.72192809488736231</v>
      </c>
      <c r="G22" s="12"/>
    </row>
    <row r="23" spans="1:7" x14ac:dyDescent="0.25">
      <c r="A23" s="12" t="s">
        <v>48</v>
      </c>
      <c r="B23" s="12">
        <v>0</v>
      </c>
      <c r="C23" s="12">
        <v>5</v>
      </c>
      <c r="D23" s="12">
        <v>1</v>
      </c>
      <c r="E23" s="12">
        <v>4</v>
      </c>
      <c r="F23" s="12">
        <f t="shared" si="0"/>
        <v>0.72192809488736231</v>
      </c>
      <c r="G23" s="12">
        <f>(F31)-((C23/C31)*F23)-((C24/C31)*F24)</f>
        <v>0.24902249956730627</v>
      </c>
    </row>
    <row r="24" spans="1:7" x14ac:dyDescent="0.25">
      <c r="A24" s="12"/>
      <c r="B24" s="12">
        <v>1</v>
      </c>
      <c r="C24" s="12">
        <v>5</v>
      </c>
      <c r="D24" s="12">
        <v>4</v>
      </c>
      <c r="E24" s="12">
        <v>1</v>
      </c>
      <c r="F24" s="12">
        <f t="shared" si="0"/>
        <v>0.72192809488736231</v>
      </c>
      <c r="G24" s="12"/>
    </row>
    <row r="25" spans="1:7" x14ac:dyDescent="0.25">
      <c r="A25" s="12" t="s">
        <v>49</v>
      </c>
      <c r="B25" s="12">
        <v>0</v>
      </c>
      <c r="C25" s="12">
        <v>5</v>
      </c>
      <c r="D25" s="12">
        <v>4</v>
      </c>
      <c r="E25" s="12">
        <v>1</v>
      </c>
      <c r="F25" s="12">
        <f t="shared" si="0"/>
        <v>0.72192809488736231</v>
      </c>
      <c r="G25" s="12">
        <f>(F31)-((C25/C31)*F25)-((C26/C31)*F26)</f>
        <v>0.24902249956730627</v>
      </c>
    </row>
    <row r="26" spans="1:7" x14ac:dyDescent="0.25">
      <c r="A26" s="12"/>
      <c r="B26" s="12">
        <v>1</v>
      </c>
      <c r="C26" s="12">
        <v>5</v>
      </c>
      <c r="D26" s="12">
        <v>1</v>
      </c>
      <c r="E26" s="12">
        <v>4</v>
      </c>
      <c r="F26" s="12">
        <f t="shared" si="0"/>
        <v>0.72192809488736231</v>
      </c>
      <c r="G26" s="12"/>
    </row>
    <row r="27" spans="1:7" x14ac:dyDescent="0.25">
      <c r="A27" s="12" t="s">
        <v>69</v>
      </c>
      <c r="B27" s="12" t="s">
        <v>70</v>
      </c>
      <c r="C27" s="12">
        <v>5</v>
      </c>
      <c r="D27" s="12">
        <v>2</v>
      </c>
      <c r="E27" s="12">
        <v>3</v>
      </c>
      <c r="F27" s="12">
        <f t="shared" si="0"/>
        <v>0.97095059445466858</v>
      </c>
      <c r="G27" s="12">
        <f>(F31)-((C27/C31)*F27)-((C28/C31)*F28)</f>
        <v>0.48547529722733429</v>
      </c>
    </row>
    <row r="28" spans="1:7" x14ac:dyDescent="0.25">
      <c r="A28" s="12" t="s">
        <v>71</v>
      </c>
      <c r="B28" s="12" t="s">
        <v>72</v>
      </c>
      <c r="C28" s="12">
        <v>5</v>
      </c>
      <c r="D28" s="12">
        <v>5</v>
      </c>
      <c r="E28" s="12">
        <v>0</v>
      </c>
      <c r="F28" s="12">
        <f t="shared" si="0"/>
        <v>0</v>
      </c>
      <c r="G28" s="12"/>
    </row>
    <row r="29" spans="1:7" x14ac:dyDescent="0.25">
      <c r="A29" s="12" t="s">
        <v>51</v>
      </c>
      <c r="B29" s="12" t="s">
        <v>56</v>
      </c>
      <c r="C29" s="12">
        <v>5</v>
      </c>
      <c r="D29" s="12">
        <v>0</v>
      </c>
      <c r="E29" s="12">
        <v>5</v>
      </c>
      <c r="F29" s="12">
        <f t="shared" si="0"/>
        <v>0</v>
      </c>
      <c r="G29" s="12">
        <f>(F31)-((C29/C31)*F29)-((C30/C31)*F30)</f>
        <v>0.97095059445466858</v>
      </c>
    </row>
    <row r="30" spans="1:7" x14ac:dyDescent="0.25">
      <c r="A30" s="12"/>
      <c r="B30" s="12" t="s">
        <v>54</v>
      </c>
      <c r="C30" s="12">
        <v>5</v>
      </c>
      <c r="D30" s="12">
        <v>5</v>
      </c>
      <c r="E30" s="12">
        <v>0</v>
      </c>
      <c r="F30" s="12">
        <f t="shared" si="0"/>
        <v>0</v>
      </c>
      <c r="G30" s="12"/>
    </row>
    <row r="31" spans="1:7" x14ac:dyDescent="0.25">
      <c r="A31" s="16" t="s">
        <v>57</v>
      </c>
      <c r="B31" s="6"/>
      <c r="C31" s="16">
        <v>10</v>
      </c>
      <c r="D31" s="16">
        <v>6</v>
      </c>
      <c r="E31" s="16">
        <v>4</v>
      </c>
      <c r="F31" s="12">
        <f>IF(D31=0,0,-(D31/C31)*LOG(D31/C31,2)) + IF(E31=0,0,-(E31/C31)*LOG(E31/C31,2))</f>
        <v>0.97095059445466858</v>
      </c>
      <c r="G3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Tabel 1</vt:lpstr>
      <vt:lpstr>Tabel 2</vt:lpstr>
      <vt:lpstr>Tabel 3</vt:lpstr>
      <vt:lpstr>Tabel 4</vt:lpstr>
      <vt:lpstr>Tabel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Fahrozi Aldinata</dc:creator>
  <cp:lastModifiedBy>Fahrozi Aldinata</cp:lastModifiedBy>
  <dcterms:created xsi:type="dcterms:W3CDTF">2025-10-06T08:43:40Z</dcterms:created>
  <dcterms:modified xsi:type="dcterms:W3CDTF">2025-10-13T13:12:54Z</dcterms:modified>
</cp:coreProperties>
</file>